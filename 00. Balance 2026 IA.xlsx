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1. PERSONAL\01. ECONOMIA\00. GESTION\2026\"/>
    </mc:Choice>
  </mc:AlternateContent>
  <xr:revisionPtr revIDLastSave="0" documentId="8_{56F43F81-11DB-4D57-9816-9275E3703D11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AÑO 2026" sheetId="1" r:id="rId1"/>
    <sheet name="GASTOS " sheetId="2" r:id="rId2"/>
    <sheet name="ESCENARIOS" sheetId="3" r:id="rId3"/>
    <sheet name="MINIMOS" sheetId="4" r:id="rId4"/>
    <sheet name="AMORTIZACIONES 1" sheetId="7" r:id="rId5"/>
  </sheets>
  <definedNames>
    <definedName name="_xlnm._FilterDatabase" localSheetId="2" hidden="1">ESCENARIOS!$A$40:$V$40</definedName>
    <definedName name="_xlnm.Print_Area" localSheetId="3">MINIMOS!$A$1:$N$53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V53" i="2" l="1"/>
  <c r="M102" i="1"/>
  <c r="M154" i="1" s="1"/>
  <c r="M16" i="1" s="1"/>
  <c r="B15" i="4"/>
  <c r="D23" i="4"/>
  <c r="AU119" i="2"/>
  <c r="C5" i="1"/>
  <c r="C15" i="4" a="1"/>
  <c r="C15" i="4" s="1"/>
  <c r="B23" i="4"/>
  <c r="C23" i="4" a="1"/>
  <c r="C23" i="4" s="1"/>
  <c r="P125" i="1"/>
  <c r="O125" i="1"/>
  <c r="N125" i="1"/>
  <c r="L125" i="1"/>
  <c r="K125" i="1"/>
  <c r="J125" i="1"/>
  <c r="I125" i="1"/>
  <c r="H125" i="1"/>
  <c r="G125" i="1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30" i="7"/>
  <c r="H29" i="7"/>
  <c r="F58" i="7"/>
  <c r="F59" i="7" s="1"/>
  <c r="Q125" i="1"/>
  <c r="H102" i="1"/>
  <c r="L102" i="1"/>
  <c r="L154" i="1" s="1"/>
  <c r="J21" i="4"/>
  <c r="K21" i="4"/>
  <c r="L21" i="4"/>
  <c r="M21" i="4"/>
  <c r="L16" i="3"/>
  <c r="L17" i="3"/>
  <c r="L18" i="3"/>
  <c r="L19" i="3"/>
  <c r="M19" i="3" s="1"/>
  <c r="L20" i="3"/>
  <c r="L21" i="3"/>
  <c r="L22" i="3"/>
  <c r="L23" i="3"/>
  <c r="M23" i="3" s="1"/>
  <c r="L24" i="3"/>
  <c r="L25" i="3"/>
  <c r="L26" i="3"/>
  <c r="L27" i="3"/>
  <c r="M27" i="3" s="1"/>
  <c r="L28" i="3"/>
  <c r="L29" i="3"/>
  <c r="L30" i="3"/>
  <c r="L31" i="3"/>
  <c r="M31" i="3" s="1"/>
  <c r="L32" i="3"/>
  <c r="M32" i="3" s="1"/>
  <c r="L33" i="3"/>
  <c r="L34" i="3"/>
  <c r="L15" i="3"/>
  <c r="M15" i="3" s="1"/>
  <c r="M16" i="3"/>
  <c r="O15" i="3"/>
  <c r="J15" i="3"/>
  <c r="M34" i="3"/>
  <c r="M33" i="3"/>
  <c r="M30" i="3"/>
  <c r="M29" i="3"/>
  <c r="M28" i="3"/>
  <c r="M26" i="3"/>
  <c r="M25" i="3"/>
  <c r="M24" i="3"/>
  <c r="M22" i="3"/>
  <c r="M21" i="3"/>
  <c r="M20" i="3"/>
  <c r="M18" i="3"/>
  <c r="M17" i="3"/>
  <c r="I7" i="3"/>
  <c r="L12" i="3"/>
  <c r="L11" i="3"/>
  <c r="L10" i="3"/>
  <c r="L9" i="3"/>
  <c r="L8" i="3"/>
  <c r="L7" i="3"/>
  <c r="L13" i="3" s="1"/>
  <c r="M13" i="3" s="1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127" i="3" s="1"/>
  <c r="AI130" i="2"/>
  <c r="G13" i="4" s="1"/>
  <c r="AI124" i="2"/>
  <c r="AO119" i="2"/>
  <c r="AI119" i="2"/>
  <c r="AJ17" i="2"/>
  <c r="K48" i="1" s="1"/>
  <c r="AD17" i="2"/>
  <c r="J48" i="1" s="1"/>
  <c r="AD53" i="2"/>
  <c r="L35" i="3" l="1"/>
  <c r="J4" i="7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L37" i="3" l="1"/>
  <c r="M35" i="3"/>
  <c r="AC129" i="2"/>
  <c r="F99" i="1"/>
  <c r="X53" i="2"/>
  <c r="L53" i="2"/>
  <c r="G102" i="1" s="1"/>
  <c r="K119" i="2" l="1"/>
  <c r="F75" i="2"/>
  <c r="F125" i="1" s="1"/>
  <c r="F157" i="1" s="1"/>
  <c r="L75" i="2"/>
  <c r="E119" i="2"/>
  <c r="R80" i="1"/>
  <c r="F122" i="1"/>
  <c r="G99" i="1"/>
  <c r="H99" i="1"/>
  <c r="I99" i="1"/>
  <c r="J99" i="1"/>
  <c r="K99" i="1"/>
  <c r="L99" i="1"/>
  <c r="M99" i="1"/>
  <c r="N99" i="1"/>
  <c r="O99" i="1"/>
  <c r="P99" i="1"/>
  <c r="Q99" i="1"/>
  <c r="G138" i="1"/>
  <c r="H138" i="1"/>
  <c r="I138" i="1"/>
  <c r="J138" i="1"/>
  <c r="K138" i="1"/>
  <c r="L138" i="1"/>
  <c r="M138" i="1"/>
  <c r="N138" i="1"/>
  <c r="O138" i="1"/>
  <c r="P138" i="1"/>
  <c r="Q138" i="1"/>
  <c r="F138" i="1"/>
  <c r="J5" i="4"/>
  <c r="J25" i="4" s="1"/>
  <c r="F42" i="1"/>
  <c r="G42" i="1"/>
  <c r="H42" i="1"/>
  <c r="I42" i="1"/>
  <c r="J42" i="1"/>
  <c r="K42" i="1"/>
  <c r="L42" i="1"/>
  <c r="M42" i="1"/>
  <c r="N42" i="1"/>
  <c r="O42" i="1"/>
  <c r="P42" i="1"/>
  <c r="Q42" i="1"/>
  <c r="F38" i="1"/>
  <c r="G38" i="1"/>
  <c r="H38" i="1"/>
  <c r="I38" i="1"/>
  <c r="J38" i="1"/>
  <c r="K38" i="1"/>
  <c r="L38" i="1"/>
  <c r="M38" i="1"/>
  <c r="N38" i="1"/>
  <c r="O38" i="1"/>
  <c r="P38" i="1"/>
  <c r="Q38" i="1"/>
  <c r="R99" i="1" l="1"/>
  <c r="N12" i="4" l="1"/>
  <c r="B9" i="4"/>
  <c r="BH17" i="2" l="1"/>
  <c r="O48" i="1" s="1"/>
  <c r="BM130" i="2"/>
  <c r="BA130" i="2"/>
  <c r="Z101" i="7" l="1"/>
  <c r="Z102" i="7" s="1"/>
  <c r="Z103" i="7" s="1"/>
  <c r="Y101" i="7"/>
  <c r="Y102" i="7" s="1"/>
  <c r="Y103" i="7" s="1"/>
  <c r="X101" i="7"/>
  <c r="X102" i="7" s="1"/>
  <c r="X103" i="7" s="1"/>
  <c r="M98" i="7"/>
  <c r="AC64" i="7" s="1"/>
  <c r="M87" i="7"/>
  <c r="U57" i="7" s="1"/>
  <c r="U58" i="7" s="1"/>
  <c r="M75" i="7"/>
  <c r="AC50" i="7" s="1"/>
  <c r="AT72" i="7"/>
  <c r="AR72" i="7"/>
  <c r="AT65" i="7"/>
  <c r="AS65" i="7"/>
  <c r="AR65" i="7"/>
  <c r="AL65" i="7"/>
  <c r="AD65" i="7"/>
  <c r="V65" i="7"/>
  <c r="M63" i="7"/>
  <c r="AC43" i="7" s="1"/>
  <c r="AT58" i="7"/>
  <c r="AS58" i="7"/>
  <c r="AL58" i="7"/>
  <c r="AK58" i="7"/>
  <c r="AD58" i="7"/>
  <c r="V58" i="7"/>
  <c r="AR54" i="7"/>
  <c r="AR58" i="7" s="1"/>
  <c r="AT51" i="7"/>
  <c r="AS51" i="7"/>
  <c r="AR51" i="7"/>
  <c r="AL51" i="7"/>
  <c r="AK51" i="7"/>
  <c r="AD51" i="7"/>
  <c r="V51" i="7"/>
  <c r="AC36" i="7"/>
  <c r="AT44" i="7"/>
  <c r="AS44" i="7"/>
  <c r="AR44" i="7"/>
  <c r="AL44" i="7"/>
  <c r="AK44" i="7"/>
  <c r="AD44" i="7"/>
  <c r="V44" i="7"/>
  <c r="AJ40" i="7"/>
  <c r="AJ47" i="7" s="1"/>
  <c r="AJ51" i="7" s="1"/>
  <c r="AB40" i="7"/>
  <c r="AB47" i="7" s="1"/>
  <c r="AB51" i="7" s="1"/>
  <c r="T40" i="7"/>
  <c r="AQ39" i="7"/>
  <c r="AQ46" i="7" s="1"/>
  <c r="AQ53" i="7" s="1"/>
  <c r="AQ60" i="7" s="1"/>
  <c r="AQ67" i="7" s="1"/>
  <c r="AI39" i="7"/>
  <c r="AA39" i="7"/>
  <c r="S39" i="7"/>
  <c r="AT37" i="7"/>
  <c r="AS37" i="7"/>
  <c r="AR37" i="7"/>
  <c r="AL37" i="7"/>
  <c r="AK37" i="7"/>
  <c r="AJ37" i="7"/>
  <c r="AD37" i="7"/>
  <c r="AB37" i="7"/>
  <c r="V37" i="7"/>
  <c r="T37" i="7"/>
  <c r="J29" i="7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J84" i="7" s="1"/>
  <c r="J85" i="7" s="1"/>
  <c r="J86" i="7" s="1"/>
  <c r="J87" i="7" s="1"/>
  <c r="J88" i="7" s="1"/>
  <c r="J89" i="7" s="1"/>
  <c r="J90" i="7" s="1"/>
  <c r="J91" i="7" s="1"/>
  <c r="J92" i="7" s="1"/>
  <c r="J93" i="7" s="1"/>
  <c r="J94" i="7" s="1"/>
  <c r="J95" i="7" s="1"/>
  <c r="J96" i="7" s="1"/>
  <c r="J97" i="7" s="1"/>
  <c r="J98" i="7" s="1"/>
  <c r="L48" i="4"/>
  <c r="M48" i="4" s="1"/>
  <c r="L47" i="4"/>
  <c r="M47" i="4" s="1"/>
  <c r="L46" i="4"/>
  <c r="M46" i="4" s="1"/>
  <c r="L45" i="4"/>
  <c r="M45" i="4" s="1"/>
  <c r="L44" i="4"/>
  <c r="M44" i="4" s="1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L36" i="4"/>
  <c r="M36" i="4" s="1"/>
  <c r="N20" i="4"/>
  <c r="U126" i="3"/>
  <c r="R126" i="3"/>
  <c r="R31" i="3" s="1"/>
  <c r="O126" i="3"/>
  <c r="I126" i="3"/>
  <c r="F126" i="3"/>
  <c r="U125" i="3"/>
  <c r="U33" i="3" s="1"/>
  <c r="V33" i="3" s="1"/>
  <c r="R125" i="3"/>
  <c r="O125" i="3"/>
  <c r="I125" i="3"/>
  <c r="F125" i="3"/>
  <c r="U124" i="3"/>
  <c r="R124" i="3"/>
  <c r="O124" i="3"/>
  <c r="I124" i="3"/>
  <c r="I29" i="3" s="1"/>
  <c r="P29" i="3" s="1"/>
  <c r="F124" i="3"/>
  <c r="U123" i="3"/>
  <c r="R123" i="3"/>
  <c r="O123" i="3"/>
  <c r="O34" i="3" s="1"/>
  <c r="I123" i="3"/>
  <c r="F123" i="3"/>
  <c r="U122" i="3"/>
  <c r="R122" i="3"/>
  <c r="R32" i="3" s="1"/>
  <c r="O122" i="3"/>
  <c r="I122" i="3"/>
  <c r="F122" i="3"/>
  <c r="U121" i="3"/>
  <c r="U30" i="3" s="1"/>
  <c r="R121" i="3"/>
  <c r="O121" i="3"/>
  <c r="I121" i="3"/>
  <c r="F121" i="3"/>
  <c r="U120" i="3"/>
  <c r="R120" i="3"/>
  <c r="O120" i="3"/>
  <c r="I120" i="3"/>
  <c r="I28" i="3" s="1"/>
  <c r="F120" i="3"/>
  <c r="U119" i="3"/>
  <c r="R119" i="3"/>
  <c r="O119" i="3"/>
  <c r="I119" i="3"/>
  <c r="F119" i="3"/>
  <c r="U118" i="3"/>
  <c r="R118" i="3"/>
  <c r="R26" i="3" s="1"/>
  <c r="O118" i="3"/>
  <c r="I118" i="3"/>
  <c r="F118" i="3"/>
  <c r="U117" i="3"/>
  <c r="U26" i="3" s="1"/>
  <c r="R117" i="3"/>
  <c r="O117" i="3"/>
  <c r="I117" i="3"/>
  <c r="F117" i="3"/>
  <c r="U116" i="3"/>
  <c r="R116" i="3"/>
  <c r="O116" i="3"/>
  <c r="I116" i="3"/>
  <c r="I27" i="3" s="1"/>
  <c r="F116" i="3"/>
  <c r="U115" i="3"/>
  <c r="R115" i="3"/>
  <c r="O115" i="3"/>
  <c r="O27" i="3" s="1"/>
  <c r="I115" i="3"/>
  <c r="F115" i="3"/>
  <c r="U114" i="3"/>
  <c r="R114" i="3"/>
  <c r="R15" i="3" s="1"/>
  <c r="O114" i="3"/>
  <c r="I114" i="3"/>
  <c r="F114" i="3"/>
  <c r="U113" i="3"/>
  <c r="R113" i="3"/>
  <c r="O113" i="3"/>
  <c r="I113" i="3"/>
  <c r="F113" i="3"/>
  <c r="U112" i="3"/>
  <c r="R112" i="3"/>
  <c r="O112" i="3"/>
  <c r="I112" i="3"/>
  <c r="F112" i="3"/>
  <c r="U111" i="3"/>
  <c r="R111" i="3"/>
  <c r="O111" i="3"/>
  <c r="I111" i="3"/>
  <c r="F111" i="3"/>
  <c r="U110" i="3"/>
  <c r="R110" i="3"/>
  <c r="I110" i="3"/>
  <c r="F110" i="3"/>
  <c r="U109" i="3"/>
  <c r="R109" i="3"/>
  <c r="O109" i="3"/>
  <c r="I109" i="3"/>
  <c r="F109" i="3"/>
  <c r="U108" i="3"/>
  <c r="R108" i="3"/>
  <c r="O108" i="3"/>
  <c r="I108" i="3"/>
  <c r="F108" i="3"/>
  <c r="U107" i="3"/>
  <c r="R107" i="3"/>
  <c r="O107" i="3"/>
  <c r="I107" i="3"/>
  <c r="F107" i="3"/>
  <c r="U106" i="3"/>
  <c r="R106" i="3"/>
  <c r="O106" i="3"/>
  <c r="I106" i="3"/>
  <c r="F106" i="3"/>
  <c r="U105" i="3"/>
  <c r="R105" i="3"/>
  <c r="O105" i="3"/>
  <c r="I105" i="3"/>
  <c r="F105" i="3"/>
  <c r="U104" i="3"/>
  <c r="R104" i="3"/>
  <c r="O104" i="3"/>
  <c r="I104" i="3"/>
  <c r="F104" i="3"/>
  <c r="U103" i="3"/>
  <c r="R103" i="3"/>
  <c r="O103" i="3"/>
  <c r="I103" i="3"/>
  <c r="I25" i="3" s="1"/>
  <c r="F103" i="3"/>
  <c r="U102" i="3"/>
  <c r="R102" i="3"/>
  <c r="O102" i="3"/>
  <c r="O25" i="3" s="1"/>
  <c r="I102" i="3"/>
  <c r="F102" i="3"/>
  <c r="U101" i="3"/>
  <c r="R101" i="3"/>
  <c r="R25" i="3" s="1"/>
  <c r="O101" i="3"/>
  <c r="I101" i="3"/>
  <c r="F101" i="3"/>
  <c r="U100" i="3"/>
  <c r="U25" i="3" s="1"/>
  <c r="R100" i="3"/>
  <c r="O100" i="3"/>
  <c r="I100" i="3"/>
  <c r="F100" i="3"/>
  <c r="U99" i="3"/>
  <c r="R99" i="3"/>
  <c r="O99" i="3"/>
  <c r="I99" i="3"/>
  <c r="I18" i="3" s="1"/>
  <c r="F99" i="3"/>
  <c r="U98" i="3"/>
  <c r="R98" i="3"/>
  <c r="O98" i="3"/>
  <c r="I98" i="3"/>
  <c r="F98" i="3"/>
  <c r="U97" i="3"/>
  <c r="R97" i="3"/>
  <c r="O97" i="3"/>
  <c r="I97" i="3"/>
  <c r="F97" i="3"/>
  <c r="U96" i="3"/>
  <c r="R96" i="3"/>
  <c r="O96" i="3"/>
  <c r="I96" i="3"/>
  <c r="F96" i="3"/>
  <c r="U95" i="3"/>
  <c r="R95" i="3"/>
  <c r="O95" i="3"/>
  <c r="I95" i="3"/>
  <c r="F95" i="3"/>
  <c r="U94" i="3"/>
  <c r="R94" i="3"/>
  <c r="O94" i="3"/>
  <c r="I94" i="3"/>
  <c r="F94" i="3"/>
  <c r="U93" i="3"/>
  <c r="R93" i="3"/>
  <c r="O93" i="3"/>
  <c r="I93" i="3"/>
  <c r="F93" i="3"/>
  <c r="U92" i="3"/>
  <c r="R92" i="3"/>
  <c r="O92" i="3"/>
  <c r="I92" i="3"/>
  <c r="F92" i="3"/>
  <c r="U91" i="3"/>
  <c r="R91" i="3"/>
  <c r="O91" i="3"/>
  <c r="I91" i="3"/>
  <c r="F91" i="3"/>
  <c r="U90" i="3"/>
  <c r="R90" i="3"/>
  <c r="O90" i="3"/>
  <c r="I90" i="3"/>
  <c r="F90" i="3"/>
  <c r="U89" i="3"/>
  <c r="R89" i="3"/>
  <c r="O89" i="3"/>
  <c r="I89" i="3"/>
  <c r="F89" i="3"/>
  <c r="U88" i="3"/>
  <c r="R88" i="3"/>
  <c r="O88" i="3"/>
  <c r="I88" i="3"/>
  <c r="F88" i="3"/>
  <c r="U87" i="3"/>
  <c r="R87" i="3"/>
  <c r="O87" i="3"/>
  <c r="I87" i="3"/>
  <c r="F87" i="3"/>
  <c r="U86" i="3"/>
  <c r="R86" i="3"/>
  <c r="O86" i="3"/>
  <c r="I86" i="3"/>
  <c r="F86" i="3"/>
  <c r="U85" i="3"/>
  <c r="R85" i="3"/>
  <c r="O85" i="3"/>
  <c r="I85" i="3"/>
  <c r="F85" i="3"/>
  <c r="U84" i="3"/>
  <c r="R84" i="3"/>
  <c r="O84" i="3"/>
  <c r="I84" i="3"/>
  <c r="F84" i="3"/>
  <c r="U83" i="3"/>
  <c r="R83" i="3"/>
  <c r="O83" i="3"/>
  <c r="I83" i="3"/>
  <c r="F83" i="3"/>
  <c r="U82" i="3"/>
  <c r="R82" i="3"/>
  <c r="O82" i="3"/>
  <c r="I82" i="3"/>
  <c r="F82" i="3"/>
  <c r="U81" i="3"/>
  <c r="R81" i="3"/>
  <c r="O81" i="3"/>
  <c r="I81" i="3"/>
  <c r="F81" i="3"/>
  <c r="U80" i="3"/>
  <c r="R80" i="3"/>
  <c r="O80" i="3"/>
  <c r="I80" i="3"/>
  <c r="F80" i="3"/>
  <c r="U79" i="3"/>
  <c r="R79" i="3"/>
  <c r="O79" i="3"/>
  <c r="I79" i="3"/>
  <c r="F79" i="3"/>
  <c r="U78" i="3"/>
  <c r="R78" i="3"/>
  <c r="O78" i="3"/>
  <c r="I78" i="3"/>
  <c r="F78" i="3"/>
  <c r="U77" i="3"/>
  <c r="R77" i="3"/>
  <c r="O77" i="3"/>
  <c r="I77" i="3"/>
  <c r="F77" i="3"/>
  <c r="U76" i="3"/>
  <c r="R76" i="3"/>
  <c r="O76" i="3"/>
  <c r="I76" i="3"/>
  <c r="F76" i="3"/>
  <c r="U75" i="3"/>
  <c r="R75" i="3"/>
  <c r="O75" i="3"/>
  <c r="I75" i="3"/>
  <c r="I24" i="3" s="1"/>
  <c r="F75" i="3"/>
  <c r="U74" i="3"/>
  <c r="R74" i="3"/>
  <c r="O74" i="3"/>
  <c r="I74" i="3"/>
  <c r="F74" i="3"/>
  <c r="U73" i="3"/>
  <c r="R73" i="3"/>
  <c r="O73" i="3"/>
  <c r="I73" i="3"/>
  <c r="F73" i="3"/>
  <c r="U72" i="3"/>
  <c r="R72" i="3"/>
  <c r="O72" i="3"/>
  <c r="I72" i="3"/>
  <c r="F72" i="3"/>
  <c r="U71" i="3"/>
  <c r="R71" i="3"/>
  <c r="O71" i="3"/>
  <c r="I71" i="3"/>
  <c r="F71" i="3"/>
  <c r="U70" i="3"/>
  <c r="R70" i="3"/>
  <c r="O70" i="3"/>
  <c r="I70" i="3"/>
  <c r="F70" i="3"/>
  <c r="U69" i="3"/>
  <c r="R69" i="3"/>
  <c r="O69" i="3"/>
  <c r="I69" i="3"/>
  <c r="F69" i="3"/>
  <c r="U68" i="3"/>
  <c r="R68" i="3"/>
  <c r="O68" i="3"/>
  <c r="I68" i="3"/>
  <c r="F68" i="3"/>
  <c r="U67" i="3"/>
  <c r="R67" i="3"/>
  <c r="O67" i="3"/>
  <c r="I67" i="3"/>
  <c r="F67" i="3"/>
  <c r="U66" i="3"/>
  <c r="R66" i="3"/>
  <c r="O66" i="3"/>
  <c r="I66" i="3"/>
  <c r="F66" i="3"/>
  <c r="U65" i="3"/>
  <c r="R65" i="3"/>
  <c r="R22" i="3" s="1"/>
  <c r="O65" i="3"/>
  <c r="I65" i="3"/>
  <c r="F65" i="3"/>
  <c r="U64" i="3"/>
  <c r="U22" i="3" s="1"/>
  <c r="R64" i="3"/>
  <c r="O64" i="3"/>
  <c r="I64" i="3"/>
  <c r="F64" i="3"/>
  <c r="U63" i="3"/>
  <c r="R63" i="3"/>
  <c r="O63" i="3"/>
  <c r="I63" i="3"/>
  <c r="I22" i="3" s="1"/>
  <c r="F63" i="3"/>
  <c r="U62" i="3"/>
  <c r="R62" i="3"/>
  <c r="O62" i="3"/>
  <c r="O22" i="3" s="1"/>
  <c r="I62" i="3"/>
  <c r="F62" i="3"/>
  <c r="U61" i="3"/>
  <c r="R61" i="3"/>
  <c r="R21" i="3" s="1"/>
  <c r="O61" i="3"/>
  <c r="I61" i="3"/>
  <c r="F61" i="3"/>
  <c r="U60" i="3"/>
  <c r="U20" i="3" s="1"/>
  <c r="R60" i="3"/>
  <c r="O60" i="3"/>
  <c r="I60" i="3"/>
  <c r="F60" i="3"/>
  <c r="U59" i="3"/>
  <c r="R59" i="3"/>
  <c r="O59" i="3"/>
  <c r="I59" i="3"/>
  <c r="F59" i="3"/>
  <c r="U58" i="3"/>
  <c r="R58" i="3"/>
  <c r="O58" i="3"/>
  <c r="O23" i="3" s="1"/>
  <c r="I58" i="3"/>
  <c r="F58" i="3"/>
  <c r="U57" i="3"/>
  <c r="R57" i="3"/>
  <c r="R23" i="3" s="1"/>
  <c r="O57" i="3"/>
  <c r="I57" i="3"/>
  <c r="F57" i="3"/>
  <c r="U56" i="3"/>
  <c r="U23" i="3" s="1"/>
  <c r="R56" i="3"/>
  <c r="O56" i="3"/>
  <c r="I56" i="3"/>
  <c r="I23" i="3" s="1"/>
  <c r="F56" i="3"/>
  <c r="U55" i="3"/>
  <c r="R55" i="3"/>
  <c r="O55" i="3"/>
  <c r="I55" i="3"/>
  <c r="I20" i="3" s="1"/>
  <c r="F55" i="3"/>
  <c r="U54" i="3"/>
  <c r="R54" i="3"/>
  <c r="O54" i="3"/>
  <c r="O20" i="3" s="1"/>
  <c r="I54" i="3"/>
  <c r="F54" i="3"/>
  <c r="U53" i="3"/>
  <c r="R53" i="3"/>
  <c r="O53" i="3"/>
  <c r="I53" i="3"/>
  <c r="F53" i="3"/>
  <c r="U52" i="3"/>
  <c r="R52" i="3"/>
  <c r="O52" i="3"/>
  <c r="I52" i="3"/>
  <c r="F52" i="3"/>
  <c r="U51" i="3"/>
  <c r="R51" i="3"/>
  <c r="O51" i="3"/>
  <c r="I51" i="3"/>
  <c r="F51" i="3"/>
  <c r="U50" i="3"/>
  <c r="R50" i="3"/>
  <c r="O50" i="3"/>
  <c r="O19" i="3" s="1"/>
  <c r="I50" i="3"/>
  <c r="F50" i="3"/>
  <c r="U49" i="3"/>
  <c r="R49" i="3"/>
  <c r="R19" i="3" s="1"/>
  <c r="O49" i="3"/>
  <c r="I49" i="3"/>
  <c r="F49" i="3"/>
  <c r="U48" i="3"/>
  <c r="R48" i="3"/>
  <c r="O48" i="3"/>
  <c r="I48" i="3"/>
  <c r="F48" i="3"/>
  <c r="U47" i="3"/>
  <c r="R47" i="3"/>
  <c r="O47" i="3"/>
  <c r="I47" i="3"/>
  <c r="F47" i="3"/>
  <c r="U46" i="3"/>
  <c r="R46" i="3"/>
  <c r="O46" i="3"/>
  <c r="O24" i="3" s="1"/>
  <c r="I46" i="3"/>
  <c r="F46" i="3"/>
  <c r="U45" i="3"/>
  <c r="R45" i="3"/>
  <c r="R24" i="3" s="1"/>
  <c r="O45" i="3"/>
  <c r="I45" i="3"/>
  <c r="F45" i="3"/>
  <c r="U44" i="3"/>
  <c r="U24" i="3" s="1"/>
  <c r="R44" i="3"/>
  <c r="O44" i="3"/>
  <c r="I44" i="3"/>
  <c r="F44" i="3"/>
  <c r="U43" i="3"/>
  <c r="R43" i="3"/>
  <c r="O43" i="3"/>
  <c r="I43" i="3"/>
  <c r="I19" i="3" s="1"/>
  <c r="F43" i="3"/>
  <c r="U42" i="3"/>
  <c r="R42" i="3"/>
  <c r="O42" i="3"/>
  <c r="O17" i="3" s="1"/>
  <c r="I42" i="3"/>
  <c r="F42" i="3"/>
  <c r="U41" i="3"/>
  <c r="R41" i="3"/>
  <c r="R16" i="3" s="1"/>
  <c r="O41" i="3"/>
  <c r="I41" i="3"/>
  <c r="F41" i="3"/>
  <c r="U34" i="3"/>
  <c r="R34" i="3"/>
  <c r="I34" i="3"/>
  <c r="R33" i="3"/>
  <c r="O33" i="3"/>
  <c r="I33" i="3"/>
  <c r="U32" i="3"/>
  <c r="O32" i="3"/>
  <c r="I32" i="3"/>
  <c r="U31" i="3"/>
  <c r="O31" i="3"/>
  <c r="I31" i="3"/>
  <c r="P31" i="3" s="1"/>
  <c r="R30" i="3"/>
  <c r="O30" i="3"/>
  <c r="I30" i="3"/>
  <c r="U29" i="3"/>
  <c r="R29" i="3"/>
  <c r="O29" i="3"/>
  <c r="U28" i="3"/>
  <c r="R28" i="3"/>
  <c r="O28" i="3"/>
  <c r="U27" i="3"/>
  <c r="R27" i="3"/>
  <c r="O26" i="3"/>
  <c r="I26" i="3"/>
  <c r="U21" i="3"/>
  <c r="O21" i="3"/>
  <c r="I21" i="3"/>
  <c r="R20" i="3"/>
  <c r="U19" i="3"/>
  <c r="U18" i="3"/>
  <c r="R18" i="3"/>
  <c r="O18" i="3"/>
  <c r="U17" i="3"/>
  <c r="R17" i="3"/>
  <c r="I17" i="3"/>
  <c r="U16" i="3"/>
  <c r="O16" i="3"/>
  <c r="I16" i="3"/>
  <c r="U15" i="3"/>
  <c r="I15" i="3"/>
  <c r="U12" i="3"/>
  <c r="R12" i="3"/>
  <c r="O12" i="3"/>
  <c r="I12" i="3"/>
  <c r="F12" i="3"/>
  <c r="U11" i="3"/>
  <c r="R11" i="3"/>
  <c r="O11" i="3"/>
  <c r="I11" i="3"/>
  <c r="F11" i="3"/>
  <c r="U10" i="3"/>
  <c r="R10" i="3"/>
  <c r="O10" i="3"/>
  <c r="I10" i="3"/>
  <c r="F10" i="3"/>
  <c r="U9" i="3"/>
  <c r="R9" i="3"/>
  <c r="O9" i="3"/>
  <c r="I9" i="3"/>
  <c r="F9" i="3"/>
  <c r="U8" i="3"/>
  <c r="R8" i="3"/>
  <c r="O8" i="3"/>
  <c r="I8" i="3"/>
  <c r="F8" i="3"/>
  <c r="U7" i="3"/>
  <c r="R7" i="3"/>
  <c r="O7" i="3"/>
  <c r="F7" i="3"/>
  <c r="BS131" i="2"/>
  <c r="M5" i="4" s="1"/>
  <c r="BM131" i="2"/>
  <c r="L5" i="4" s="1"/>
  <c r="BG131" i="2"/>
  <c r="K5" i="4" s="1"/>
  <c r="BA131" i="2"/>
  <c r="AU131" i="2"/>
  <c r="I5" i="4" s="1"/>
  <c r="AO131" i="2"/>
  <c r="H5" i="4" s="1"/>
  <c r="AI131" i="2"/>
  <c r="G5" i="4" s="1"/>
  <c r="AC131" i="2"/>
  <c r="F5" i="4" s="1"/>
  <c r="Q131" i="2"/>
  <c r="D5" i="4" s="1"/>
  <c r="K131" i="2"/>
  <c r="C5" i="4" s="1"/>
  <c r="E131" i="2"/>
  <c r="B5" i="4" s="1"/>
  <c r="BS130" i="2"/>
  <c r="L13" i="4"/>
  <c r="BG130" i="2"/>
  <c r="K13" i="4" s="1"/>
  <c r="K14" i="4" s="1"/>
  <c r="J13" i="4"/>
  <c r="J14" i="4" s="1"/>
  <c r="AU130" i="2"/>
  <c r="I13" i="4" s="1"/>
  <c r="I14" i="4" s="1"/>
  <c r="AO130" i="2"/>
  <c r="H13" i="4" s="1"/>
  <c r="G14" i="4"/>
  <c r="AC130" i="2"/>
  <c r="F13" i="4" s="1"/>
  <c r="F14" i="4" s="1"/>
  <c r="W130" i="2"/>
  <c r="E13" i="4" s="1"/>
  <c r="Q130" i="2"/>
  <c r="D13" i="4" s="1"/>
  <c r="K130" i="2"/>
  <c r="C13" i="4" s="1"/>
  <c r="C14" i="4" s="1"/>
  <c r="E130" i="2"/>
  <c r="BS129" i="2"/>
  <c r="BM129" i="2"/>
  <c r="BG129" i="2"/>
  <c r="BA129" i="2"/>
  <c r="AU129" i="2"/>
  <c r="I21" i="4" s="1"/>
  <c r="I23" i="4" s="1"/>
  <c r="AO129" i="2"/>
  <c r="H21" i="4" s="1"/>
  <c r="AI129" i="2"/>
  <c r="G21" i="4" s="1"/>
  <c r="F21" i="4"/>
  <c r="W129" i="2"/>
  <c r="E21" i="4" s="1"/>
  <c r="Q129" i="2"/>
  <c r="D21" i="4" s="1"/>
  <c r="K129" i="2"/>
  <c r="C21" i="4" s="1"/>
  <c r="BS127" i="2"/>
  <c r="BM127" i="2"/>
  <c r="BG127" i="2"/>
  <c r="BA127" i="2"/>
  <c r="AU127" i="2"/>
  <c r="AO127" i="2"/>
  <c r="AI127" i="2"/>
  <c r="AC127" i="2"/>
  <c r="W127" i="2"/>
  <c r="Q127" i="2"/>
  <c r="K127" i="2"/>
  <c r="E127" i="2"/>
  <c r="BS125" i="2"/>
  <c r="BM125" i="2"/>
  <c r="BG125" i="2"/>
  <c r="BA125" i="2"/>
  <c r="AU125" i="2"/>
  <c r="AO125" i="2"/>
  <c r="AI125" i="2"/>
  <c r="W125" i="2"/>
  <c r="K125" i="2"/>
  <c r="E125" i="2"/>
  <c r="BS124" i="2"/>
  <c r="BM124" i="2"/>
  <c r="BG124" i="2"/>
  <c r="BA124" i="2"/>
  <c r="AU124" i="2"/>
  <c r="AO124" i="2"/>
  <c r="AC124" i="2"/>
  <c r="W124" i="2"/>
  <c r="Q124" i="2"/>
  <c r="K124" i="2"/>
  <c r="E124" i="2"/>
  <c r="W119" i="2"/>
  <c r="AC125" i="2"/>
  <c r="Q125" i="2"/>
  <c r="Q119" i="2"/>
  <c r="W131" i="2"/>
  <c r="E5" i="4" s="1"/>
  <c r="BT75" i="2"/>
  <c r="BN75" i="2"/>
  <c r="BH75" i="2"/>
  <c r="BB75" i="2"/>
  <c r="AV75" i="2"/>
  <c r="M125" i="1" s="1"/>
  <c r="AP75" i="2"/>
  <c r="AJ75" i="2"/>
  <c r="AD75" i="2"/>
  <c r="X75" i="2"/>
  <c r="R75" i="2"/>
  <c r="BT53" i="2"/>
  <c r="Q102" i="1" s="1"/>
  <c r="Q144" i="1" s="1"/>
  <c r="BN53" i="2"/>
  <c r="P102" i="1" s="1"/>
  <c r="BH53" i="2"/>
  <c r="O102" i="1" s="1"/>
  <c r="O144" i="1" s="1"/>
  <c r="BB53" i="2"/>
  <c r="N102" i="1" s="1"/>
  <c r="N144" i="1" s="1"/>
  <c r="M144" i="1"/>
  <c r="AP53" i="2"/>
  <c r="L144" i="1" s="1"/>
  <c r="AJ53" i="2"/>
  <c r="K102" i="1" s="1"/>
  <c r="K144" i="1" s="1"/>
  <c r="J102" i="1"/>
  <c r="J144" i="1" s="1"/>
  <c r="I102" i="1"/>
  <c r="I144" i="1" s="1"/>
  <c r="R53" i="2"/>
  <c r="G144" i="1"/>
  <c r="F53" i="2"/>
  <c r="F102" i="1" s="1"/>
  <c r="F154" i="1" s="1"/>
  <c r="AD19" i="2"/>
  <c r="BT17" i="2"/>
  <c r="Q48" i="1" s="1"/>
  <c r="BN17" i="2"/>
  <c r="P48" i="1" s="1"/>
  <c r="BB17" i="2"/>
  <c r="N48" i="1" s="1"/>
  <c r="AV17" i="2"/>
  <c r="M48" i="1" s="1"/>
  <c r="AP17" i="2"/>
  <c r="L48" i="1" s="1"/>
  <c r="X17" i="2"/>
  <c r="I48" i="1" s="1"/>
  <c r="R17" i="2"/>
  <c r="H48" i="1" s="1"/>
  <c r="L17" i="2"/>
  <c r="G48" i="1" s="1"/>
  <c r="F17" i="2"/>
  <c r="F48" i="1" s="1"/>
  <c r="F151" i="1" s="1"/>
  <c r="S162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Q122" i="1"/>
  <c r="P122" i="1"/>
  <c r="L17" i="4" s="1"/>
  <c r="O122" i="1"/>
  <c r="N122" i="1"/>
  <c r="J17" i="4" s="1"/>
  <c r="M122" i="1"/>
  <c r="L122" i="1"/>
  <c r="H17" i="4" s="1"/>
  <c r="K122" i="1"/>
  <c r="J122" i="1"/>
  <c r="F17" i="4" s="1"/>
  <c r="I122" i="1"/>
  <c r="H122" i="1"/>
  <c r="D17" i="4" s="1"/>
  <c r="G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4" i="1"/>
  <c r="R103" i="1"/>
  <c r="M9" i="4"/>
  <c r="L9" i="4"/>
  <c r="K9" i="4"/>
  <c r="J9" i="4"/>
  <c r="I9" i="4"/>
  <c r="H9" i="4"/>
  <c r="G9" i="4"/>
  <c r="F9" i="4"/>
  <c r="E9" i="4"/>
  <c r="D9" i="4"/>
  <c r="C9" i="4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7" i="1"/>
  <c r="R56" i="1"/>
  <c r="R55" i="1"/>
  <c r="R54" i="1"/>
  <c r="R53" i="1"/>
  <c r="R52" i="1"/>
  <c r="R51" i="1"/>
  <c r="R50" i="1"/>
  <c r="R49" i="1"/>
  <c r="Q44" i="1"/>
  <c r="P44" i="1"/>
  <c r="O44" i="1"/>
  <c r="N44" i="1"/>
  <c r="M44" i="1"/>
  <c r="L44" i="1"/>
  <c r="K44" i="1"/>
  <c r="J44" i="1"/>
  <c r="I44" i="1"/>
  <c r="H44" i="1"/>
  <c r="G44" i="1"/>
  <c r="F44" i="1"/>
  <c r="Q43" i="1"/>
  <c r="P43" i="1"/>
  <c r="O43" i="1"/>
  <c r="N43" i="1"/>
  <c r="M43" i="1"/>
  <c r="L43" i="1"/>
  <c r="K43" i="1"/>
  <c r="J43" i="1"/>
  <c r="I43" i="1"/>
  <c r="H43" i="1"/>
  <c r="G43" i="1"/>
  <c r="F43" i="1"/>
  <c r="R41" i="1"/>
  <c r="Q39" i="1"/>
  <c r="P39" i="1"/>
  <c r="O39" i="1"/>
  <c r="N39" i="1"/>
  <c r="M39" i="1"/>
  <c r="L39" i="1"/>
  <c r="K39" i="1"/>
  <c r="J39" i="1"/>
  <c r="J153" i="1" s="1"/>
  <c r="I39" i="1"/>
  <c r="H39" i="1"/>
  <c r="G39" i="1"/>
  <c r="F39" i="1"/>
  <c r="F153" i="1" s="1"/>
  <c r="R37" i="1"/>
  <c r="R36" i="1"/>
  <c r="Q33" i="1"/>
  <c r="P33" i="1"/>
  <c r="O33" i="1"/>
  <c r="N33" i="1"/>
  <c r="M33" i="1"/>
  <c r="L33" i="1"/>
  <c r="K33" i="1"/>
  <c r="J33" i="1"/>
  <c r="I33" i="1"/>
  <c r="H33" i="1"/>
  <c r="G33" i="1"/>
  <c r="F33" i="1"/>
  <c r="Q32" i="1"/>
  <c r="P32" i="1"/>
  <c r="O32" i="1"/>
  <c r="N32" i="1"/>
  <c r="M32" i="1"/>
  <c r="L32" i="1"/>
  <c r="K32" i="1"/>
  <c r="J32" i="1"/>
  <c r="I32" i="1"/>
  <c r="H32" i="1"/>
  <c r="G32" i="1"/>
  <c r="F32" i="1"/>
  <c r="R31" i="1"/>
  <c r="R30" i="1"/>
  <c r="R29" i="1"/>
  <c r="R28" i="1"/>
  <c r="R27" i="1"/>
  <c r="R26" i="1"/>
  <c r="R25" i="1"/>
  <c r="F13" i="1"/>
  <c r="F19" i="1" s="1"/>
  <c r="G13" i="1" s="1"/>
  <c r="G19" i="1" s="1"/>
  <c r="H13" i="1" s="1"/>
  <c r="H19" i="1" s="1"/>
  <c r="I13" i="1" s="1"/>
  <c r="I19" i="1" s="1"/>
  <c r="J13" i="1" s="1"/>
  <c r="J19" i="1" s="1"/>
  <c r="K13" i="1" s="1"/>
  <c r="K19" i="1" s="1"/>
  <c r="L13" i="1" s="1"/>
  <c r="L19" i="1" s="1"/>
  <c r="M13" i="1" s="1"/>
  <c r="M19" i="1" s="1"/>
  <c r="N13" i="1" s="1"/>
  <c r="N19" i="1" s="1"/>
  <c r="O13" i="1" s="1"/>
  <c r="O19" i="1" s="1"/>
  <c r="P13" i="1" s="1"/>
  <c r="P19" i="1" s="1"/>
  <c r="Q13" i="1" s="1"/>
  <c r="Q19" i="1" s="1"/>
  <c r="N3" i="1" s="1"/>
  <c r="F12" i="1"/>
  <c r="F18" i="1" s="1"/>
  <c r="G12" i="1" s="1"/>
  <c r="G18" i="1" s="1"/>
  <c r="H12" i="1" s="1"/>
  <c r="H18" i="1" s="1"/>
  <c r="I12" i="1" s="1"/>
  <c r="I18" i="1" s="1"/>
  <c r="J12" i="1" s="1"/>
  <c r="J18" i="1" s="1"/>
  <c r="K12" i="1" s="1"/>
  <c r="K18" i="1" s="1"/>
  <c r="L12" i="1" s="1"/>
  <c r="L18" i="1" s="1"/>
  <c r="M12" i="1" s="1"/>
  <c r="M18" i="1" s="1"/>
  <c r="N12" i="1" s="1"/>
  <c r="N18" i="1" s="1"/>
  <c r="O12" i="1" s="1"/>
  <c r="O18" i="1" s="1"/>
  <c r="P12" i="1" s="1"/>
  <c r="P18" i="1" s="1"/>
  <c r="Q12" i="1" s="1"/>
  <c r="Q18" i="1" s="1"/>
  <c r="M3" i="1" s="1"/>
  <c r="F11" i="1"/>
  <c r="F10" i="1"/>
  <c r="F9" i="1"/>
  <c r="L5" i="1"/>
  <c r="L4" i="1"/>
  <c r="AD2" i="1"/>
  <c r="AD3" i="1" s="1"/>
  <c r="AD4" i="1" s="1"/>
  <c r="AD5" i="1" s="1"/>
  <c r="AD6" i="1" s="1"/>
  <c r="AD7" i="1" s="1"/>
  <c r="Y2" i="1"/>
  <c r="O2" i="1"/>
  <c r="R2" i="1" s="1"/>
  <c r="J2" i="1"/>
  <c r="D14" i="4" l="1"/>
  <c r="D15" i="4"/>
  <c r="E14" i="4"/>
  <c r="M15" i="4"/>
  <c r="H15" i="4"/>
  <c r="G15" i="4"/>
  <c r="E15" i="4"/>
  <c r="F15" i="4"/>
  <c r="L15" i="4"/>
  <c r="K15" i="4"/>
  <c r="J15" i="4"/>
  <c r="I15" i="4"/>
  <c r="M23" i="4"/>
  <c r="E23" i="4"/>
  <c r="L23" i="4"/>
  <c r="K23" i="4"/>
  <c r="J23" i="4"/>
  <c r="F23" i="4"/>
  <c r="H23" i="4"/>
  <c r="G23" i="4"/>
  <c r="F150" i="1"/>
  <c r="F15" i="1" s="1"/>
  <c r="N63" i="7"/>
  <c r="AC57" i="7"/>
  <c r="H14" i="4"/>
  <c r="P28" i="3"/>
  <c r="P19" i="3"/>
  <c r="P20" i="3"/>
  <c r="P22" i="3"/>
  <c r="P27" i="3"/>
  <c r="P24" i="3"/>
  <c r="P25" i="3"/>
  <c r="P32" i="3"/>
  <c r="R35" i="3"/>
  <c r="S35" i="3" s="1"/>
  <c r="P18" i="3"/>
  <c r="U35" i="3"/>
  <c r="V35" i="3" s="1"/>
  <c r="P21" i="3"/>
  <c r="P23" i="3"/>
  <c r="P26" i="3"/>
  <c r="P30" i="3"/>
  <c r="O13" i="3"/>
  <c r="P13" i="3" s="1"/>
  <c r="O35" i="3"/>
  <c r="P35" i="3" s="1"/>
  <c r="O127" i="3"/>
  <c r="I127" i="3"/>
  <c r="S30" i="3"/>
  <c r="S31" i="3"/>
  <c r="S32" i="3"/>
  <c r="F13" i="3"/>
  <c r="I13" i="3"/>
  <c r="J13" i="3" s="1"/>
  <c r="R13" i="3"/>
  <c r="R37" i="3" s="1"/>
  <c r="U13" i="3"/>
  <c r="U37" i="3" s="1"/>
  <c r="N100" i="1"/>
  <c r="N151" i="1"/>
  <c r="N143" i="1"/>
  <c r="AB44" i="7"/>
  <c r="AK65" i="7"/>
  <c r="AS72" i="7"/>
  <c r="AA46" i="7"/>
  <c r="AA53" i="7" s="1"/>
  <c r="AC30" i="7"/>
  <c r="AC65" i="7" s="1"/>
  <c r="AB54" i="7"/>
  <c r="AB58" i="7" s="1"/>
  <c r="AJ54" i="7"/>
  <c r="AJ58" i="7" s="1"/>
  <c r="L150" i="1"/>
  <c r="K156" i="1"/>
  <c r="P154" i="1"/>
  <c r="P144" i="1"/>
  <c r="F144" i="1"/>
  <c r="F123" i="1"/>
  <c r="Q145" i="1"/>
  <c r="Q139" i="1"/>
  <c r="M25" i="4"/>
  <c r="L27" i="4"/>
  <c r="L25" i="4"/>
  <c r="O145" i="1"/>
  <c r="O139" i="1"/>
  <c r="K25" i="4"/>
  <c r="J27" i="4"/>
  <c r="M145" i="1"/>
  <c r="M139" i="1"/>
  <c r="I25" i="4"/>
  <c r="L145" i="1"/>
  <c r="L139" i="1"/>
  <c r="H25" i="4"/>
  <c r="G25" i="4"/>
  <c r="K145" i="1"/>
  <c r="K139" i="1"/>
  <c r="F25" i="4"/>
  <c r="J145" i="1"/>
  <c r="J139" i="1"/>
  <c r="E25" i="4"/>
  <c r="I145" i="1"/>
  <c r="I139" i="1"/>
  <c r="D25" i="4"/>
  <c r="H145" i="1"/>
  <c r="H139" i="1"/>
  <c r="C25" i="4"/>
  <c r="G145" i="1"/>
  <c r="G139" i="1"/>
  <c r="B25" i="4"/>
  <c r="B6" i="4"/>
  <c r="N5" i="4"/>
  <c r="B13" i="4"/>
  <c r="B14" i="4" s="1"/>
  <c r="F16" i="1"/>
  <c r="R122" i="1"/>
  <c r="R45" i="1"/>
  <c r="P150" i="1"/>
  <c r="O156" i="1"/>
  <c r="Q156" i="1"/>
  <c r="J150" i="1"/>
  <c r="I156" i="1"/>
  <c r="H150" i="1"/>
  <c r="N150" i="1"/>
  <c r="H22" i="4"/>
  <c r="H27" i="4"/>
  <c r="K22" i="4"/>
  <c r="K27" i="4"/>
  <c r="M22" i="4"/>
  <c r="M27" i="4"/>
  <c r="O27" i="4"/>
  <c r="G22" i="4"/>
  <c r="G27" i="4"/>
  <c r="C22" i="4"/>
  <c r="C27" i="4"/>
  <c r="D22" i="4"/>
  <c r="D27" i="4"/>
  <c r="E22" i="4"/>
  <c r="E27" i="4"/>
  <c r="I22" i="4"/>
  <c r="I27" i="4"/>
  <c r="F22" i="4"/>
  <c r="F27" i="4"/>
  <c r="AP78" i="2"/>
  <c r="E126" i="2"/>
  <c r="L153" i="1"/>
  <c r="M156" i="1"/>
  <c r="G150" i="1"/>
  <c r="R38" i="1"/>
  <c r="I153" i="1"/>
  <c r="Q153" i="1"/>
  <c r="H156" i="1"/>
  <c r="L156" i="1"/>
  <c r="P156" i="1"/>
  <c r="O150" i="1"/>
  <c r="I150" i="1"/>
  <c r="M150" i="1"/>
  <c r="Q150" i="1"/>
  <c r="R44" i="1"/>
  <c r="K150" i="1"/>
  <c r="H153" i="1"/>
  <c r="P153" i="1"/>
  <c r="G153" i="1"/>
  <c r="K153" i="1"/>
  <c r="B17" i="4"/>
  <c r="G156" i="1"/>
  <c r="K126" i="2"/>
  <c r="W126" i="2"/>
  <c r="O153" i="1"/>
  <c r="L14" i="4"/>
  <c r="L22" i="4"/>
  <c r="J22" i="4"/>
  <c r="N153" i="1"/>
  <c r="L54" i="2"/>
  <c r="R54" i="2"/>
  <c r="H144" i="1"/>
  <c r="D26" i="4"/>
  <c r="H26" i="4"/>
  <c r="K26" i="4"/>
  <c r="F26" i="4"/>
  <c r="L26" i="4"/>
  <c r="J26" i="4"/>
  <c r="O154" i="1"/>
  <c r="Q154" i="1"/>
  <c r="J154" i="1"/>
  <c r="N154" i="1"/>
  <c r="P123" i="1"/>
  <c r="M49" i="4"/>
  <c r="N49" i="4" s="1"/>
  <c r="BV131" i="2"/>
  <c r="M4" i="1"/>
  <c r="M5" i="1"/>
  <c r="O3" i="1"/>
  <c r="N5" i="1"/>
  <c r="N4" i="1"/>
  <c r="F156" i="1"/>
  <c r="F17" i="1" s="1"/>
  <c r="N156" i="1"/>
  <c r="AD78" i="2"/>
  <c r="R32" i="1"/>
  <c r="Q126" i="2"/>
  <c r="R39" i="1"/>
  <c r="BB78" i="2"/>
  <c r="Y3" i="1"/>
  <c r="Y4" i="1" s="1"/>
  <c r="Y5" i="1" s="1"/>
  <c r="Y6" i="1" s="1"/>
  <c r="Y7" i="1" s="1"/>
  <c r="R33" i="1"/>
  <c r="I17" i="4"/>
  <c r="I26" i="4" s="1"/>
  <c r="L123" i="1"/>
  <c r="BN78" i="2"/>
  <c r="P15" i="3"/>
  <c r="V15" i="3"/>
  <c r="S15" i="3"/>
  <c r="P17" i="3"/>
  <c r="J17" i="3"/>
  <c r="V17" i="3"/>
  <c r="S17" i="3"/>
  <c r="Z111" i="7"/>
  <c r="Z110" i="7"/>
  <c r="Z108" i="7"/>
  <c r="Z104" i="7"/>
  <c r="Z106" i="7" s="1"/>
  <c r="Z112" i="7"/>
  <c r="Z109" i="7"/>
  <c r="Z107" i="7"/>
  <c r="Z105" i="7"/>
  <c r="R19" i="1"/>
  <c r="G17" i="4"/>
  <c r="G26" i="4" s="1"/>
  <c r="M153" i="1"/>
  <c r="J156" i="1"/>
  <c r="R42" i="1"/>
  <c r="AC126" i="2"/>
  <c r="M13" i="4"/>
  <c r="BV130" i="2"/>
  <c r="I35" i="3"/>
  <c r="J35" i="3" s="1"/>
  <c r="C17" i="4"/>
  <c r="C26" i="4" s="1"/>
  <c r="K17" i="4"/>
  <c r="O123" i="1"/>
  <c r="F14" i="1"/>
  <c r="R43" i="1"/>
  <c r="R12" i="1"/>
  <c r="N9" i="4"/>
  <c r="R13" i="1"/>
  <c r="R18" i="1"/>
  <c r="E17" i="4"/>
  <c r="I154" i="1" s="1"/>
  <c r="M17" i="4"/>
  <c r="R78" i="2"/>
  <c r="AC119" i="2"/>
  <c r="P16" i="3"/>
  <c r="J16" i="3"/>
  <c r="V16" i="3"/>
  <c r="S16" i="3"/>
  <c r="T44" i="7"/>
  <c r="S46" i="7"/>
  <c r="T47" i="7"/>
  <c r="T51" i="7" s="1"/>
  <c r="X109" i="7"/>
  <c r="X107" i="7"/>
  <c r="X105" i="7"/>
  <c r="X110" i="7"/>
  <c r="X108" i="7"/>
  <c r="X104" i="7"/>
  <c r="X106" i="7" s="1"/>
  <c r="AJ78" i="2"/>
  <c r="S18" i="3"/>
  <c r="S19" i="3"/>
  <c r="S20" i="3"/>
  <c r="S21" i="3"/>
  <c r="S22" i="3"/>
  <c r="S23" i="3"/>
  <c r="S24" i="3"/>
  <c r="S25" i="3"/>
  <c r="S26" i="3"/>
  <c r="S27" i="3"/>
  <c r="S28" i="3"/>
  <c r="S29" i="3"/>
  <c r="V32" i="3"/>
  <c r="S34" i="3"/>
  <c r="P34" i="3"/>
  <c r="R127" i="3"/>
  <c r="AV78" i="2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P33" i="3"/>
  <c r="J34" i="3"/>
  <c r="U127" i="3"/>
  <c r="Y109" i="7"/>
  <c r="Y107" i="7"/>
  <c r="Y105" i="7"/>
  <c r="Y111" i="7"/>
  <c r="Y110" i="7"/>
  <c r="Y108" i="7"/>
  <c r="Y104" i="7"/>
  <c r="Y106" i="7" s="1"/>
  <c r="J33" i="3"/>
  <c r="F54" i="2"/>
  <c r="L78" i="2"/>
  <c r="BH78" i="2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X78" i="2"/>
  <c r="BT78" i="2"/>
  <c r="S33" i="3"/>
  <c r="V34" i="3"/>
  <c r="F127" i="3"/>
  <c r="AJ44" i="7"/>
  <c r="N75" i="7"/>
  <c r="N98" i="7"/>
  <c r="AC37" i="7"/>
  <c r="AI46" i="7"/>
  <c r="AI53" i="7" s="1"/>
  <c r="AI60" i="7" s="1"/>
  <c r="L19" i="4" l="1"/>
  <c r="K19" i="4"/>
  <c r="J19" i="4"/>
  <c r="I19" i="4"/>
  <c r="H19" i="4"/>
  <c r="G19" i="4"/>
  <c r="F19" i="4"/>
  <c r="E19" i="4"/>
  <c r="B19" i="4"/>
  <c r="D19" i="4"/>
  <c r="C19" i="4" a="1"/>
  <c r="C19" i="4" s="1"/>
  <c r="M19" i="4"/>
  <c r="E26" i="4"/>
  <c r="AC51" i="7"/>
  <c r="AJ61" i="7"/>
  <c r="AJ65" i="7" s="1"/>
  <c r="AA60" i="7"/>
  <c r="AB61" i="7"/>
  <c r="AB65" i="7" s="1"/>
  <c r="O37" i="3"/>
  <c r="V13" i="3"/>
  <c r="S13" i="3"/>
  <c r="AC44" i="7"/>
  <c r="AC58" i="7"/>
  <c r="F60" i="7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J159" i="1"/>
  <c r="G10" i="1"/>
  <c r="F30" i="4"/>
  <c r="H30" i="4"/>
  <c r="I30" i="4"/>
  <c r="B30" i="4"/>
  <c r="J30" i="4"/>
  <c r="G30" i="4"/>
  <c r="C30" i="4"/>
  <c r="K30" i="4"/>
  <c r="M30" i="4"/>
  <c r="G31" i="4" s="1"/>
  <c r="Q151" i="1"/>
  <c r="Q143" i="1"/>
  <c r="Q100" i="1"/>
  <c r="P151" i="1"/>
  <c r="P143" i="1"/>
  <c r="P100" i="1"/>
  <c r="P145" i="1"/>
  <c r="P139" i="1"/>
  <c r="O151" i="1"/>
  <c r="O100" i="1"/>
  <c r="O143" i="1"/>
  <c r="O146" i="1" s="1"/>
  <c r="N145" i="1"/>
  <c r="N139" i="1"/>
  <c r="M143" i="1"/>
  <c r="M146" i="1" s="1"/>
  <c r="M151" i="1"/>
  <c r="M100" i="1"/>
  <c r="L143" i="1"/>
  <c r="L146" i="1" s="1"/>
  <c r="L100" i="1"/>
  <c r="L151" i="1"/>
  <c r="K100" i="1"/>
  <c r="K151" i="1"/>
  <c r="K143" i="1"/>
  <c r="J151" i="1"/>
  <c r="J143" i="1"/>
  <c r="J146" i="1" s="1"/>
  <c r="J100" i="1"/>
  <c r="I151" i="1"/>
  <c r="I143" i="1"/>
  <c r="I146" i="1" s="1"/>
  <c r="I100" i="1"/>
  <c r="H100" i="1"/>
  <c r="H151" i="1"/>
  <c r="H143" i="1"/>
  <c r="H146" i="1" s="1"/>
  <c r="G100" i="1"/>
  <c r="G151" i="1"/>
  <c r="G143" i="1"/>
  <c r="G146" i="1" s="1"/>
  <c r="D30" i="4"/>
  <c r="L30" i="4"/>
  <c r="B26" i="4"/>
  <c r="F143" i="1"/>
  <c r="F100" i="1"/>
  <c r="R48" i="1"/>
  <c r="E30" i="4"/>
  <c r="O159" i="1"/>
  <c r="N159" i="1"/>
  <c r="K159" i="1"/>
  <c r="S18" i="1"/>
  <c r="G159" i="1"/>
  <c r="Q159" i="1"/>
  <c r="I159" i="1"/>
  <c r="H6" i="4"/>
  <c r="K6" i="4"/>
  <c r="G6" i="4"/>
  <c r="C6" i="4"/>
  <c r="F6" i="4"/>
  <c r="D6" i="4"/>
  <c r="E6" i="4"/>
  <c r="M6" i="4"/>
  <c r="L6" i="4"/>
  <c r="J6" i="4"/>
  <c r="I6" i="4"/>
  <c r="H159" i="1"/>
  <c r="L159" i="1"/>
  <c r="S39" i="1"/>
  <c r="P26" i="4" s="1"/>
  <c r="R150" i="1"/>
  <c r="O157" i="1"/>
  <c r="K157" i="1"/>
  <c r="J157" i="1"/>
  <c r="G157" i="1"/>
  <c r="P157" i="1"/>
  <c r="H157" i="1"/>
  <c r="L157" i="1"/>
  <c r="I157" i="1"/>
  <c r="Q157" i="1"/>
  <c r="N157" i="1"/>
  <c r="N160" i="1" s="1"/>
  <c r="M157" i="1"/>
  <c r="P159" i="1"/>
  <c r="S44" i="1"/>
  <c r="P27" i="4" s="1"/>
  <c r="R27" i="4" s="1"/>
  <c r="S19" i="1"/>
  <c r="N17" i="4"/>
  <c r="B16" i="4" s="1"/>
  <c r="D8" i="4"/>
  <c r="D10" i="4" s="1"/>
  <c r="H8" i="4"/>
  <c r="H10" i="4" s="1"/>
  <c r="L8" i="4"/>
  <c r="L10" i="4" s="1"/>
  <c r="I8" i="4"/>
  <c r="I10" i="4" s="1"/>
  <c r="M8" i="4"/>
  <c r="M10" i="4" s="1"/>
  <c r="E8" i="4"/>
  <c r="E10" i="4" s="1"/>
  <c r="F8" i="4"/>
  <c r="F10" i="4" s="1"/>
  <c r="J8" i="4"/>
  <c r="J10" i="4" s="1"/>
  <c r="B8" i="4"/>
  <c r="C8" i="4"/>
  <c r="C10" i="4" s="1"/>
  <c r="G8" i="4"/>
  <c r="G10" i="4" s="1"/>
  <c r="K8" i="4"/>
  <c r="K10" i="4" s="1"/>
  <c r="R153" i="1"/>
  <c r="O5" i="1"/>
  <c r="M14" i="4"/>
  <c r="N14" i="4" s="1"/>
  <c r="M26" i="4"/>
  <c r="S33" i="1"/>
  <c r="G154" i="1"/>
  <c r="G123" i="1"/>
  <c r="Q123" i="1"/>
  <c r="M123" i="1"/>
  <c r="I123" i="1"/>
  <c r="J123" i="1"/>
  <c r="N123" i="1"/>
  <c r="N13" i="4"/>
  <c r="R156" i="1"/>
  <c r="I37" i="3"/>
  <c r="M159" i="1"/>
  <c r="S53" i="7"/>
  <c r="F159" i="1"/>
  <c r="T54" i="7"/>
  <c r="T58" i="7" s="1"/>
  <c r="O4" i="1"/>
  <c r="N25" i="4"/>
  <c r="S60" i="7" l="1"/>
  <c r="N8" i="4"/>
  <c r="Q146" i="1"/>
  <c r="I160" i="1"/>
  <c r="I161" i="1" s="1"/>
  <c r="T18" i="1"/>
  <c r="N161" i="1"/>
  <c r="P146" i="1"/>
  <c r="P160" i="1"/>
  <c r="P161" i="1" s="1"/>
  <c r="L160" i="1"/>
  <c r="L161" i="1" s="1"/>
  <c r="Q160" i="1"/>
  <c r="Q161" i="1" s="1"/>
  <c r="M160" i="1"/>
  <c r="M161" i="1" s="1"/>
  <c r="N146" i="1"/>
  <c r="O160" i="1"/>
  <c r="O161" i="1" s="1"/>
  <c r="R143" i="1"/>
  <c r="R100" i="1"/>
  <c r="P25" i="4"/>
  <c r="S45" i="1"/>
  <c r="R138" i="1"/>
  <c r="N4" i="4"/>
  <c r="N6" i="4"/>
  <c r="J160" i="1"/>
  <c r="J161" i="1" s="1"/>
  <c r="G160" i="1"/>
  <c r="G161" i="1" s="1"/>
  <c r="E16" i="4"/>
  <c r="E18" i="4" s="1"/>
  <c r="H16" i="4"/>
  <c r="H18" i="4" s="1"/>
  <c r="C16" i="4"/>
  <c r="C18" i="4" s="1"/>
  <c r="K16" i="4"/>
  <c r="K18" i="4" s="1"/>
  <c r="G16" i="4"/>
  <c r="G18" i="4" s="1"/>
  <c r="D16" i="4"/>
  <c r="D18" i="4" s="1"/>
  <c r="L16" i="4"/>
  <c r="L18" i="4" s="1"/>
  <c r="B18" i="4"/>
  <c r="I16" i="4"/>
  <c r="I18" i="4" s="1"/>
  <c r="J16" i="4"/>
  <c r="J18" i="4" s="1"/>
  <c r="F16" i="4"/>
  <c r="F18" i="4" s="1"/>
  <c r="M16" i="4"/>
  <c r="M18" i="4" s="1"/>
  <c r="B10" i="4"/>
  <c r="N10" i="4" s="1"/>
  <c r="N26" i="4"/>
  <c r="P28" i="4"/>
  <c r="F31" i="4"/>
  <c r="K146" i="1"/>
  <c r="H31" i="4"/>
  <c r="K31" i="4"/>
  <c r="D31" i="4"/>
  <c r="B31" i="4"/>
  <c r="E31" i="4"/>
  <c r="I31" i="4"/>
  <c r="C31" i="4"/>
  <c r="M31" i="4"/>
  <c r="J31" i="4"/>
  <c r="L31" i="4"/>
  <c r="H154" i="1"/>
  <c r="H123" i="1"/>
  <c r="R102" i="1"/>
  <c r="R151" i="1"/>
  <c r="S151" i="1" s="1"/>
  <c r="R159" i="1"/>
  <c r="T61" i="7"/>
  <c r="T65" i="7" s="1"/>
  <c r="G16" i="1"/>
  <c r="N18" i="4" l="1"/>
  <c r="O25" i="4"/>
  <c r="R25" i="4" s="1"/>
  <c r="N16" i="4"/>
  <c r="O26" i="4" s="1"/>
  <c r="R26" i="4" s="1"/>
  <c r="Q25" i="4"/>
  <c r="N28" i="4"/>
  <c r="R144" i="1"/>
  <c r="K154" i="1"/>
  <c r="K160" i="1" s="1"/>
  <c r="K161" i="1" s="1"/>
  <c r="K123" i="1"/>
  <c r="R123" i="1" s="1"/>
  <c r="G9" i="1"/>
  <c r="G15" i="1" s="1"/>
  <c r="H10" i="1"/>
  <c r="H160" i="1"/>
  <c r="H161" i="1" s="1"/>
  <c r="R154" i="1" l="1"/>
  <c r="S154" i="1" s="1"/>
  <c r="Q26" i="4"/>
  <c r="O28" i="4"/>
  <c r="H16" i="1"/>
  <c r="Q28" i="4" l="1"/>
  <c r="R28" i="4"/>
  <c r="H9" i="1"/>
  <c r="H15" i="1" s="1"/>
  <c r="I10" i="1"/>
  <c r="I16" i="1" l="1"/>
  <c r="I9" i="1" l="1"/>
  <c r="I15" i="1" s="1"/>
  <c r="J10" i="1"/>
  <c r="J16" i="1" s="1"/>
  <c r="K10" i="1" s="1"/>
  <c r="K16" i="1" s="1"/>
  <c r="L10" i="1" s="1"/>
  <c r="L16" i="1" l="1"/>
  <c r="M10" i="1" s="1"/>
  <c r="N10" i="1" l="1"/>
  <c r="N16" i="1" s="1"/>
  <c r="O10" i="1" s="1"/>
  <c r="O16" i="1" s="1"/>
  <c r="P10" i="1" s="1"/>
  <c r="P16" i="1" s="1"/>
  <c r="Q10" i="1" s="1"/>
  <c r="Q16" i="1" s="1"/>
  <c r="H3" i="1" s="1"/>
  <c r="H4" i="1" s="1"/>
  <c r="J9" i="1"/>
  <c r="J15" i="1" s="1"/>
  <c r="H5" i="1" l="1"/>
  <c r="R10" i="1"/>
  <c r="R16" i="1"/>
  <c r="S16" i="1" l="1"/>
  <c r="K9" i="1"/>
  <c r="K15" i="1" s="1"/>
  <c r="L9" i="1" l="1"/>
  <c r="L15" i="1" s="1"/>
  <c r="M9" i="1" l="1"/>
  <c r="M15" i="1" s="1"/>
  <c r="N9" i="1" l="1"/>
  <c r="N15" i="1" s="1"/>
  <c r="O9" i="1" l="1"/>
  <c r="O15" i="1" s="1"/>
  <c r="P9" i="1" l="1"/>
  <c r="P15" i="1" s="1"/>
  <c r="Q9" i="1" l="1"/>
  <c r="Q15" i="1" s="1"/>
  <c r="G3" i="1" s="1"/>
  <c r="R9" i="1" l="1"/>
  <c r="R15" i="1" l="1"/>
  <c r="S15" i="1" s="1"/>
  <c r="G4" i="1" l="1"/>
  <c r="G5" i="1"/>
  <c r="F78" i="2"/>
  <c r="BV78" i="2" s="1"/>
  <c r="E129" i="2"/>
  <c r="BV129" i="2" s="1"/>
  <c r="B21" i="4" l="1"/>
  <c r="K32" i="4" l="1"/>
  <c r="E32" i="4"/>
  <c r="J32" i="4"/>
  <c r="L32" i="4"/>
  <c r="B32" i="4"/>
  <c r="N21" i="4"/>
  <c r="B27" i="4"/>
  <c r="N27" i="4" s="1"/>
  <c r="Q27" i="4" s="1"/>
  <c r="M32" i="4"/>
  <c r="F32" i="4"/>
  <c r="B22" i="4"/>
  <c r="N22" i="4" s="1"/>
  <c r="I32" i="4"/>
  <c r="G32" i="4"/>
  <c r="D32" i="4"/>
  <c r="C32" i="4"/>
  <c r="H32" i="4"/>
  <c r="G33" i="4" l="1"/>
  <c r="J33" i="4"/>
  <c r="L33" i="4"/>
  <c r="B33" i="4"/>
  <c r="F33" i="4"/>
  <c r="M33" i="4"/>
  <c r="H33" i="4"/>
  <c r="K33" i="4"/>
  <c r="I33" i="4"/>
  <c r="E33" i="4"/>
  <c r="D33" i="4"/>
  <c r="C33" i="4"/>
  <c r="R125" i="1"/>
  <c r="F145" i="1"/>
  <c r="F139" i="1"/>
  <c r="R139" i="1" s="1"/>
  <c r="S139" i="1" s="1"/>
  <c r="S140" i="1" s="1"/>
  <c r="R145" i="1" l="1"/>
  <c r="F146" i="1"/>
  <c r="F160" i="1"/>
  <c r="R157" i="1"/>
  <c r="S157" i="1" s="1"/>
  <c r="G11" i="1" l="1"/>
  <c r="G17" i="1" s="1"/>
  <c r="F20" i="1"/>
  <c r="R160" i="1"/>
  <c r="S160" i="1" s="1"/>
  <c r="F161" i="1"/>
  <c r="I147" i="1"/>
  <c r="N147" i="1"/>
  <c r="K147" i="1"/>
  <c r="R146" i="1"/>
  <c r="R147" i="1" s="1"/>
  <c r="M147" i="1"/>
  <c r="G147" i="1"/>
  <c r="O147" i="1"/>
  <c r="J147" i="1"/>
  <c r="Q147" i="1"/>
  <c r="L147" i="1"/>
  <c r="F147" i="1"/>
  <c r="H147" i="1"/>
  <c r="P147" i="1"/>
  <c r="G14" i="1" l="1"/>
  <c r="G20" i="1" l="1"/>
  <c r="H11" i="1"/>
  <c r="H17" i="1" s="1"/>
  <c r="H14" i="1" l="1"/>
  <c r="I11" i="1" l="1"/>
  <c r="I17" i="1" s="1"/>
  <c r="H20" i="1"/>
  <c r="I14" i="1" l="1"/>
  <c r="I20" i="1" l="1"/>
  <c r="J11" i="1"/>
  <c r="J17" i="1" s="1"/>
  <c r="J14" i="1" l="1"/>
  <c r="K11" i="1" l="1"/>
  <c r="K17" i="1" s="1"/>
  <c r="J20" i="1"/>
  <c r="K14" i="1" l="1"/>
  <c r="K20" i="1" l="1"/>
  <c r="L11" i="1"/>
  <c r="L17" i="1" s="1"/>
  <c r="L14" i="1" l="1"/>
  <c r="L20" i="1" l="1"/>
  <c r="M11" i="1"/>
  <c r="M17" i="1" s="1"/>
  <c r="M14" i="1" l="1"/>
  <c r="M20" i="1" l="1"/>
  <c r="N11" i="1"/>
  <c r="N17" i="1" s="1"/>
  <c r="N14" i="1" l="1"/>
  <c r="O11" i="1" l="1"/>
  <c r="O17" i="1" s="1"/>
  <c r="N20" i="1"/>
  <c r="O14" i="1" l="1"/>
  <c r="O20" i="1" l="1"/>
  <c r="P11" i="1"/>
  <c r="P17" i="1" s="1"/>
  <c r="P14" i="1" l="1"/>
  <c r="Q11" i="1" l="1"/>
  <c r="Q17" i="1" s="1"/>
  <c r="P20" i="1"/>
  <c r="Q14" i="1" l="1"/>
  <c r="R11" i="1"/>
  <c r="I3" i="1" l="1"/>
  <c r="Q20" i="1"/>
  <c r="R17" i="1"/>
  <c r="S17" i="1" s="1"/>
  <c r="T15" i="1" s="1"/>
  <c r="U15" i="1" s="1"/>
  <c r="R3" i="1" l="1"/>
  <c r="I4" i="1"/>
  <c r="J4" i="1" s="1"/>
  <c r="J3" i="1"/>
  <c r="I5" i="1"/>
  <c r="J5" i="1" l="1"/>
  <c r="R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Julio Basterrika</author>
    <author>Julio Basterrika Navarro</author>
  </authors>
  <commentList>
    <comment ref="G4" authorId="0" shapeId="0" xr:uid="{00000000-0006-0000-0000-000005000000}">
      <text>
        <r>
          <rPr>
            <sz val="10"/>
            <rFont val="Arial"/>
            <family val="2"/>
          </rPr>
          <t>Para obtener el ahorro se ha descontado la cantidad aportada a amortización</t>
        </r>
      </text>
    </comment>
    <comment ref="G5" authorId="0" shapeId="0" xr:uid="{00000000-0006-0000-0000-000006000000}">
      <text>
        <r>
          <rPr>
            <sz val="10"/>
            <rFont val="Arial"/>
            <family val="2"/>
          </rPr>
          <t>Para obtener el ahorro se ha descontado la cantidad aportada a amortización</t>
        </r>
      </text>
    </comment>
    <comment ref="N26" authorId="0" shapeId="0" xr:uid="{00000000-0006-0000-0000-000016000000}">
      <text>
        <r>
          <rPr>
            <sz val="10"/>
            <rFont val="Arial"/>
            <family val="2"/>
          </rPr>
          <t xml:space="preserve">Julio Basterrika:
</t>
        </r>
        <r>
          <rPr>
            <sz val="9"/>
            <color rgb="FF000000"/>
            <rFont val="Tahoma"/>
            <family val="2"/>
            <charset val="1"/>
          </rPr>
          <t>Devolución comida ipunto</t>
        </r>
      </text>
    </comment>
    <comment ref="F36" authorId="0" shapeId="0" xr:uid="{00000000-0006-0000-0000-000001000000}">
      <text>
        <r>
          <rPr>
            <sz val="10"/>
            <rFont val="Arial"/>
            <family val="2"/>
          </rPr>
          <t xml:space="preserve">Cobrado en Diciembre 2025
</t>
        </r>
      </text>
    </comment>
    <comment ref="G52" authorId="1" shapeId="0" xr:uid="{4F906C79-2F87-41F5-964D-9027D9A3374B}">
      <text>
        <r>
          <rPr>
            <b/>
            <sz val="9"/>
            <color indexed="81"/>
            <rFont val="Tahoma"/>
            <family val="2"/>
          </rPr>
          <t>Julio Basterrika:</t>
        </r>
        <r>
          <rPr>
            <sz val="9"/>
            <color indexed="81"/>
            <rFont val="Tahoma"/>
            <family val="2"/>
          </rPr>
          <t xml:space="preserve">
04/02: 33,24
26/02: 33,34</t>
        </r>
      </text>
    </comment>
    <comment ref="I52" authorId="0" shapeId="0" xr:uid="{00000000-0006-0000-0000-00000B000000}">
      <text>
        <r>
          <rPr>
            <sz val="10"/>
            <rFont val="Arial"/>
            <family val="2"/>
          </rPr>
          <t xml:space="preserve">10/04: 18,84€
</t>
        </r>
      </text>
    </comment>
    <comment ref="J52" authorId="0" shapeId="0" xr:uid="{00000000-0006-0000-0000-00000D000000}">
      <text>
        <r>
          <rPr>
            <sz val="10"/>
            <rFont val="Arial"/>
            <family val="2"/>
          </rPr>
          <t>21/05: 19,73€
28/05: 24€</t>
        </r>
      </text>
    </comment>
    <comment ref="P52" authorId="1" shapeId="0" xr:uid="{4B363447-F978-4E56-BA1D-BDAE706F0721}">
      <text>
        <r>
          <rPr>
            <b/>
            <sz val="9"/>
            <color indexed="81"/>
            <rFont val="Tahoma"/>
            <family val="2"/>
          </rPr>
          <t>Julio Basterrika:</t>
        </r>
        <r>
          <rPr>
            <sz val="9"/>
            <color indexed="81"/>
            <rFont val="Tahoma"/>
            <family val="2"/>
          </rPr>
          <t xml:space="preserve">
45,58€
39,86€ REGULARIZACION
</t>
        </r>
      </text>
    </comment>
    <comment ref="J53" authorId="0" shapeId="0" xr:uid="{00000000-0006-0000-0000-00000E000000}">
      <text>
        <r>
          <rPr>
            <sz val="10"/>
            <rFont val="Arial"/>
            <family val="2"/>
          </rPr>
          <t>3,91€ DIGI
62,17€ EUSKALTEL</t>
        </r>
      </text>
    </comment>
    <comment ref="Q56" authorId="1" shapeId="0" xr:uid="{829BFC95-DDC4-436A-91CA-AA5090F50B5B}">
      <text>
        <r>
          <rPr>
            <b/>
            <sz val="9"/>
            <color indexed="81"/>
            <rFont val="Tahoma"/>
            <charset val="1"/>
          </rPr>
          <t>Julio Basterrika:</t>
        </r>
        <r>
          <rPr>
            <sz val="9"/>
            <color indexed="81"/>
            <rFont val="Tahoma"/>
            <charset val="1"/>
          </rPr>
          <t xml:space="preserve">
217,66€</t>
        </r>
      </text>
    </comment>
    <comment ref="Q57" authorId="1" shapeId="0" xr:uid="{ADEB9997-032D-4AD8-98F5-3E67C7098377}">
      <text>
        <r>
          <rPr>
            <b/>
            <sz val="9"/>
            <color indexed="81"/>
            <rFont val="Tahoma"/>
            <charset val="1"/>
          </rPr>
          <t>Julio Basterrika:</t>
        </r>
        <r>
          <rPr>
            <sz val="9"/>
            <color indexed="81"/>
            <rFont val="Tahoma"/>
            <charset val="1"/>
          </rPr>
          <t xml:space="preserve">
198,34€ (2024)</t>
        </r>
      </text>
    </comment>
    <comment ref="I63" authorId="0" shapeId="0" xr:uid="{A1EB973F-16AF-48A6-B7F7-041E626ED0F7}">
      <text>
        <r>
          <rPr>
            <sz val="10"/>
            <rFont val="Arial"/>
            <family val="2"/>
          </rPr>
          <t xml:space="preserve">Julio Basterrika:
</t>
        </r>
        <r>
          <rPr>
            <sz val="9"/>
            <color rgb="FF000000"/>
            <rFont val="Tahoma"/>
            <family val="2"/>
            <charset val="1"/>
          </rPr>
          <t xml:space="preserve">88€ HECHO DESDE KUTXA POR BIZUM A RICAR
</t>
        </r>
      </text>
    </comment>
    <comment ref="H65" authorId="1" shapeId="0" xr:uid="{CA2C4152-1F04-4256-96C3-F2330ACFCC18}">
      <text>
        <r>
          <rPr>
            <b/>
            <sz val="9"/>
            <color indexed="81"/>
            <rFont val="Tahoma"/>
            <charset val="1"/>
          </rPr>
          <t>Julio Basterrika:</t>
        </r>
        <r>
          <rPr>
            <sz val="9"/>
            <color indexed="81"/>
            <rFont val="Tahoma"/>
            <charset val="1"/>
          </rPr>
          <t xml:space="preserve">
04/03
25/03</t>
        </r>
      </text>
    </comment>
    <comment ref="J65" authorId="1" shapeId="0" xr:uid="{DEA68C85-69B7-4E02-B4D3-E21344CE088C}">
      <text>
        <r>
          <rPr>
            <b/>
            <sz val="9"/>
            <color indexed="81"/>
            <rFont val="Tahoma"/>
            <charset val="1"/>
          </rPr>
          <t>Julio Basterrika:</t>
        </r>
        <r>
          <rPr>
            <sz val="9"/>
            <color indexed="81"/>
            <rFont val="Tahoma"/>
            <charset val="1"/>
          </rPr>
          <t xml:space="preserve">
28/05: 30€</t>
        </r>
      </text>
    </comment>
    <comment ref="K65" authorId="2" shapeId="0" xr:uid="{63D0E692-F179-4189-BDDC-6AC1D64B9B6C}">
      <text>
        <r>
          <rPr>
            <b/>
            <sz val="9"/>
            <color indexed="81"/>
            <rFont val="Tahoma"/>
            <charset val="1"/>
          </rPr>
          <t xml:space="preserve">
13/06: 58,31€
30/06: 30€</t>
        </r>
      </text>
    </comment>
    <comment ref="L65" authorId="1" shapeId="0" xr:uid="{C6FB0412-E754-4E77-920B-D06F00012279}">
      <text>
        <r>
          <rPr>
            <b/>
            <sz val="9"/>
            <color indexed="81"/>
            <rFont val="Tahoma"/>
            <charset val="1"/>
          </rPr>
          <t>Julio Basterrika:</t>
        </r>
        <r>
          <rPr>
            <sz val="9"/>
            <color indexed="81"/>
            <rFont val="Tahoma"/>
            <charset val="1"/>
          </rPr>
          <t xml:space="preserve">
12/07 GASOLINA COHE JUANCAR</t>
        </r>
      </text>
    </comment>
    <comment ref="N65" authorId="1" shapeId="0" xr:uid="{04C902FB-D6A5-4E63-BE5F-2B4C6B245C6D}">
      <text>
        <r>
          <rPr>
            <b/>
            <sz val="9"/>
            <color indexed="81"/>
            <rFont val="Tahoma"/>
            <family val="2"/>
          </rPr>
          <t>Julio Basterrika:</t>
        </r>
        <r>
          <rPr>
            <sz val="9"/>
            <color indexed="81"/>
            <rFont val="Tahoma"/>
            <family val="2"/>
          </rPr>
          <t xml:space="preserve">
05/09 - 54,16 €
18/09 - 58,44 €</t>
        </r>
      </text>
    </comment>
    <comment ref="F68" authorId="0" shapeId="0" xr:uid="{00000000-0006-0000-0000-000002000000}">
      <text>
        <r>
          <rPr>
            <sz val="10"/>
            <rFont val="Arial"/>
            <family val="2"/>
          </rPr>
          <t xml:space="preserve">Julio Basterrika:
</t>
        </r>
        <r>
          <rPr>
            <sz val="9"/>
            <color rgb="FF000000"/>
            <rFont val="Tahoma"/>
            <family val="2"/>
            <charset val="1"/>
          </rPr>
          <t>23/01: 12,67€
23/01: 36,98€</t>
        </r>
      </text>
    </comment>
    <comment ref="G68" authorId="1" shapeId="0" xr:uid="{99751CE5-CF30-496F-AF37-AC368883BE35}">
      <text>
        <r>
          <rPr>
            <b/>
            <sz val="9"/>
            <color indexed="81"/>
            <rFont val="Tahoma"/>
            <family val="2"/>
          </rPr>
          <t>Julio Basterrika:</t>
        </r>
        <r>
          <rPr>
            <sz val="9"/>
            <color indexed="81"/>
            <rFont val="Tahoma"/>
            <family val="2"/>
          </rPr>
          <t xml:space="preserve">
25,25
6,55
</t>
        </r>
      </text>
    </comment>
    <comment ref="I68" authorId="0" shapeId="0" xr:uid="{00000000-0006-0000-0000-00000C000000}">
      <text>
        <r>
          <rPr>
            <sz val="10"/>
            <rFont val="Arial"/>
            <family val="2"/>
          </rPr>
          <t>Julio Basterrika:
43,65</t>
        </r>
        <r>
          <rPr>
            <sz val="9"/>
            <color rgb="FF000000"/>
            <rFont val="Tahoma"/>
            <family val="2"/>
            <charset val="1"/>
          </rPr>
          <t xml:space="preserve">
4,86
</t>
        </r>
      </text>
    </comment>
    <comment ref="J68" authorId="0" shapeId="0" xr:uid="{00000000-0006-0000-0000-00000F000000}">
      <text>
        <r>
          <rPr>
            <sz val="10"/>
            <rFont val="Arial"/>
            <family val="2"/>
          </rPr>
          <t xml:space="preserve">Julio Basterrika:
</t>
        </r>
        <r>
          <rPr>
            <sz val="9"/>
            <color rgb="FF000000"/>
            <rFont val="Tahoma"/>
            <family val="2"/>
            <charset val="1"/>
          </rPr>
          <t>27,85€
18,14€</t>
        </r>
      </text>
    </comment>
    <comment ref="K68" authorId="0" shapeId="0" xr:uid="{00000000-0006-0000-0000-000012000000}">
      <text>
        <r>
          <rPr>
            <sz val="10"/>
            <rFont val="Arial"/>
            <family val="2"/>
          </rPr>
          <t>13,74€
22,50€</t>
        </r>
      </text>
    </comment>
    <comment ref="L68" authorId="0" shapeId="0" xr:uid="{00000000-0006-0000-0000-000014000000}">
      <text>
        <r>
          <rPr>
            <sz val="10"/>
            <rFont val="Arial"/>
            <family val="2"/>
          </rPr>
          <t xml:space="preserve">Julio Basterrika:
</t>
        </r>
        <r>
          <rPr>
            <sz val="9"/>
            <color rgb="FF000000"/>
            <rFont val="Tahoma"/>
            <family val="2"/>
            <charset val="1"/>
          </rPr>
          <t xml:space="preserve">16,40
20,06
</t>
        </r>
      </text>
    </comment>
    <comment ref="M68" authorId="1" shapeId="0" xr:uid="{C6F9D283-B293-4156-82D2-577B0F172B88}">
      <text>
        <r>
          <rPr>
            <b/>
            <sz val="9"/>
            <color indexed="81"/>
            <rFont val="Tahoma"/>
            <family val="2"/>
          </rPr>
          <t>11,54€
26,20€</t>
        </r>
      </text>
    </comment>
    <comment ref="N68" authorId="1" shapeId="0" xr:uid="{37BD3E29-4723-4C5B-B485-F219C7F7A518}">
      <text>
        <r>
          <rPr>
            <b/>
            <sz val="9"/>
            <color indexed="81"/>
            <rFont val="Tahoma"/>
            <family val="2"/>
          </rPr>
          <t>Julio Basterrika:</t>
        </r>
        <r>
          <rPr>
            <sz val="9"/>
            <color indexed="81"/>
            <rFont val="Tahoma"/>
            <family val="2"/>
          </rPr>
          <t xml:space="preserve">
30,32€
6,43€</t>
        </r>
      </text>
    </comment>
    <comment ref="P68" authorId="1" shapeId="0" xr:uid="{8AA15904-EE2E-40DB-909B-639A32B64C90}">
      <text>
        <r>
          <rPr>
            <b/>
            <sz val="9"/>
            <color indexed="81"/>
            <rFont val="Tahoma"/>
            <family val="2"/>
          </rPr>
          <t>Julio Basterrika:</t>
        </r>
        <r>
          <rPr>
            <sz val="9"/>
            <color indexed="81"/>
            <rFont val="Tahoma"/>
            <family val="2"/>
          </rPr>
          <t xml:space="preserve">
8,86
13,32
</t>
        </r>
      </text>
    </comment>
    <comment ref="O88" authorId="1" shapeId="0" xr:uid="{92641967-588B-43BB-9F87-4F72969C5AF6}">
      <text>
        <r>
          <rPr>
            <b/>
            <sz val="9"/>
            <color indexed="81"/>
            <rFont val="Tahoma"/>
            <family val="2"/>
          </rPr>
          <t>Julio Basterrika:</t>
        </r>
        <r>
          <rPr>
            <sz val="9"/>
            <color indexed="81"/>
            <rFont val="Tahoma"/>
            <family val="2"/>
          </rPr>
          <t xml:space="preserve">
49,90 PAGADOS DESDE N26
</t>
        </r>
      </text>
    </comment>
    <comment ref="G105" authorId="0" shapeId="0" xr:uid="{00000000-0006-0000-0000-000007000000}">
      <text>
        <r>
          <rPr>
            <sz val="10"/>
            <rFont val="Arial"/>
            <family val="2"/>
          </rPr>
          <t xml:space="preserve">Julio Basterrika:
</t>
        </r>
        <r>
          <rPr>
            <sz val="9"/>
            <color rgb="FF000000"/>
            <rFont val="Tahoma"/>
            <family val="2"/>
            <charset val="1"/>
          </rPr>
          <t>Año 2024: 159,08</t>
        </r>
      </text>
    </comment>
    <comment ref="L112" authorId="2" shapeId="0" xr:uid="{4CEE8820-C41F-4AFF-A2EA-D9E59D3D3118}">
      <text>
        <r>
          <rPr>
            <b/>
            <sz val="9"/>
            <color indexed="81"/>
            <rFont val="Tahoma"/>
            <family val="2"/>
          </rPr>
          <t>Julio Basterrika Navarro:</t>
        </r>
        <r>
          <rPr>
            <sz val="9"/>
            <color indexed="81"/>
            <rFont val="Tahoma"/>
            <family val="2"/>
          </rPr>
          <t xml:space="preserve">
INCLUYE 10€ COMPRA EROSKI
</t>
        </r>
      </text>
    </comment>
    <comment ref="L113" authorId="2" shapeId="0" xr:uid="{9A6F6915-F2C5-4B7E-8C94-05FEC0201B5C}">
      <text>
        <r>
          <rPr>
            <b/>
            <sz val="9"/>
            <color indexed="81"/>
            <rFont val="Tahoma"/>
            <family val="2"/>
          </rPr>
          <t>Julio Basterrika Navarro:</t>
        </r>
        <r>
          <rPr>
            <sz val="9"/>
            <color indexed="81"/>
            <rFont val="Tahoma"/>
            <family val="2"/>
          </rPr>
          <t xml:space="preserve">
INCLUYE 100€ MATRICULA AEK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8" authorId="0" shapeId="0" xr:uid="{00000000-0006-0000-0200-000001000000}">
      <text>
        <r>
          <rPr>
            <sz val="10"/>
            <rFont val="Arial"/>
            <family val="2"/>
          </rPr>
          <t>QUITADO PRESTAMO 400€ OLATZ</t>
        </r>
      </text>
    </comment>
    <comment ref="R18" authorId="0" shapeId="0" xr:uid="{00000000-0006-0000-0200-000005000000}">
      <text>
        <r>
          <rPr>
            <sz val="10"/>
            <rFont val="Arial"/>
            <family val="2"/>
          </rPr>
          <t>QUITADO PRESTAMO 400€ OLATZ</t>
        </r>
      </text>
    </comment>
    <comment ref="U18" authorId="0" shapeId="0" xr:uid="{00000000-0006-0000-0200-000009000000}">
      <text>
        <r>
          <rPr>
            <sz val="10"/>
            <rFont val="Arial"/>
            <family val="2"/>
          </rPr>
          <t>QUITADO PRESTAMO 400€ OLATZ</t>
        </r>
      </text>
    </comment>
    <comment ref="I24" authorId="0" shapeId="0" xr:uid="{00000000-0006-0000-0200-000002000000}">
      <text>
        <r>
          <rPr>
            <sz val="10"/>
            <rFont val="Arial"/>
            <family val="2"/>
          </rPr>
          <t xml:space="preserve">Julio Basterrika Navarro:
</t>
        </r>
        <r>
          <rPr>
            <sz val="9"/>
            <color rgb="FF000000"/>
            <rFont val="Tahoma"/>
            <family val="2"/>
            <charset val="1"/>
          </rPr>
          <t>PIXDEMIA + LOCALES NIÑAS</t>
        </r>
      </text>
    </comment>
    <comment ref="R24" authorId="0" shapeId="0" xr:uid="{00000000-0006-0000-0200-000006000000}">
      <text>
        <r>
          <rPr>
            <sz val="10"/>
            <rFont val="Arial"/>
            <family val="2"/>
          </rPr>
          <t xml:space="preserve">Julio Basterrika Navarro:
</t>
        </r>
        <r>
          <rPr>
            <sz val="9"/>
            <color rgb="FF000000"/>
            <rFont val="Tahoma"/>
            <family val="2"/>
            <charset val="1"/>
          </rPr>
          <t>PIXDEMIA + LOCALES NIÑAS</t>
        </r>
      </text>
    </comment>
    <comment ref="U24" authorId="0" shapeId="0" xr:uid="{00000000-0006-0000-0200-00000A000000}">
      <text>
        <r>
          <rPr>
            <sz val="10"/>
            <rFont val="Arial"/>
            <family val="2"/>
          </rPr>
          <t xml:space="preserve">Julio Basterrika Navarro:
</t>
        </r>
        <r>
          <rPr>
            <sz val="9"/>
            <color rgb="FF000000"/>
            <rFont val="Tahoma"/>
            <family val="2"/>
            <charset val="1"/>
          </rPr>
          <t>PIXDEMIA + LOCALES NIÑAS</t>
        </r>
      </text>
    </comment>
    <comment ref="I25" authorId="0" shapeId="0" xr:uid="{00000000-0006-0000-0200-000003000000}">
      <text>
        <r>
          <rPr>
            <sz val="10"/>
            <rFont val="Arial"/>
            <family val="2"/>
          </rPr>
          <t xml:space="preserve">Julio Basterrika:
</t>
        </r>
        <r>
          <rPr>
            <sz val="9"/>
            <color rgb="FF000000"/>
            <rFont val="Tahoma"/>
            <family val="2"/>
            <charset val="1"/>
          </rPr>
          <t xml:space="preserve">QUITADO ARDANZA
LUZ
AGUA
IBI
SEGURO
DERRAMAS
</t>
        </r>
      </text>
    </comment>
    <comment ref="R25" authorId="0" shapeId="0" xr:uid="{00000000-0006-0000-0200-000007000000}">
      <text>
        <r>
          <rPr>
            <sz val="10"/>
            <rFont val="Arial"/>
            <family val="2"/>
          </rPr>
          <t xml:space="preserve">Julio Basterrika:
</t>
        </r>
        <r>
          <rPr>
            <sz val="9"/>
            <color rgb="FF000000"/>
            <rFont val="Tahoma"/>
            <family val="2"/>
            <charset val="1"/>
          </rPr>
          <t xml:space="preserve">QUITADO ARDANZA
LUZ
AGUA
IBI
SEGURO
DERRAMAS
</t>
        </r>
      </text>
    </comment>
    <comment ref="U25" authorId="0" shapeId="0" xr:uid="{00000000-0006-0000-0200-00000B000000}">
      <text>
        <r>
          <rPr>
            <sz val="10"/>
            <rFont val="Arial"/>
            <family val="2"/>
          </rPr>
          <t xml:space="preserve">Julio Basterrika:
</t>
        </r>
        <r>
          <rPr>
            <sz val="9"/>
            <color rgb="FF000000"/>
            <rFont val="Tahoma"/>
            <family val="2"/>
            <charset val="1"/>
          </rPr>
          <t xml:space="preserve">QUITADO ARDANZA
LUZ
AGUA
IBI
SEGURO
DERRAMAS
</t>
        </r>
      </text>
    </comment>
    <comment ref="I34" authorId="0" shapeId="0" xr:uid="{00000000-0006-0000-0200-000004000000}">
      <text>
        <r>
          <rPr>
            <sz val="10"/>
            <rFont val="Arial"/>
            <family val="2"/>
          </rPr>
          <t>Julio Basterrika:
QUITADO CUOTA DENTISTA 250€</t>
        </r>
      </text>
    </comment>
    <comment ref="R34" authorId="0" shapeId="0" xr:uid="{00000000-0006-0000-0200-000008000000}">
      <text>
        <r>
          <rPr>
            <sz val="10"/>
            <rFont val="Arial"/>
            <family val="2"/>
          </rPr>
          <t>Julio Basterrika:
QUITADO CUOTA DENTISTA 250€</t>
        </r>
      </text>
    </comment>
    <comment ref="U34" authorId="0" shapeId="0" xr:uid="{00000000-0006-0000-0200-00000C000000}">
      <text>
        <r>
          <rPr>
            <sz val="10"/>
            <rFont val="Arial"/>
            <family val="2"/>
          </rPr>
          <t>Julio Basterrika:
QUITADO CUOTA DENTISTA 250€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 Basterrika Navarro</author>
  </authors>
  <commentList>
    <comment ref="D4" authorId="0" shapeId="0" xr:uid="{90AAA4BF-55DE-4D63-A6D8-134FB69DA531}">
      <text>
        <r>
          <rPr>
            <b/>
            <sz val="9"/>
            <color indexed="81"/>
            <rFont val="Tahoma"/>
            <family val="2"/>
          </rPr>
          <t>Julio Basterrika Navarro:</t>
        </r>
        <r>
          <rPr>
            <sz val="9"/>
            <color indexed="81"/>
            <rFont val="Tahoma"/>
            <family val="2"/>
          </rPr>
          <t xml:space="preserve">
REONOR PLADUR
</t>
        </r>
      </text>
    </comment>
    <comment ref="E4" authorId="0" shapeId="0" xr:uid="{6F1D6D31-6312-4CAD-B475-B4FD05E5EF1D}">
      <text>
        <r>
          <rPr>
            <b/>
            <sz val="9"/>
            <color indexed="81"/>
            <rFont val="Tahoma"/>
            <family val="2"/>
          </rPr>
          <t>Julio Basterrika Navarro:</t>
        </r>
        <r>
          <rPr>
            <sz val="9"/>
            <color indexed="81"/>
            <rFont val="Tahoma"/>
            <family val="2"/>
          </rPr>
          <t xml:space="preserve">
RIFF BAÑO</t>
        </r>
      </text>
    </comment>
    <comment ref="G4" authorId="0" shapeId="0" xr:uid="{164F3B92-68DD-4620-B7B7-021809BE9152}">
      <text>
        <r>
          <rPr>
            <b/>
            <sz val="9"/>
            <color indexed="81"/>
            <rFont val="Tahoma"/>
            <family val="2"/>
          </rPr>
          <t>Julio Basterrika Navarro:</t>
        </r>
        <r>
          <rPr>
            <sz val="9"/>
            <color indexed="81"/>
            <rFont val="Tahoma"/>
            <family val="2"/>
          </rPr>
          <t xml:space="preserve">
RIFF BAÑO: ADELANTO JUANCAR
</t>
        </r>
      </text>
    </comment>
    <comment ref="H4" authorId="0" shapeId="0" xr:uid="{E137B5DE-6213-4D62-8FA7-E64E50D813FB}">
      <text>
        <r>
          <rPr>
            <b/>
            <sz val="9"/>
            <color indexed="81"/>
            <rFont val="Tahoma"/>
            <family val="2"/>
          </rPr>
          <t>Julio Basterrika Navarro:</t>
        </r>
        <r>
          <rPr>
            <sz val="9"/>
            <color indexed="81"/>
            <rFont val="Tahoma"/>
            <family val="2"/>
          </rPr>
          <t xml:space="preserve">
RIFF BAÑO: ADELANTO JUANCAR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<sst xmlns="http://schemas.openxmlformats.org/spreadsheetml/2006/main" count="2679" uniqueCount="565">
  <si>
    <t>SANTANDER</t>
  </si>
  <si>
    <t>KUTXA</t>
  </si>
  <si>
    <t>N26</t>
  </si>
  <si>
    <t>INDEXA</t>
  </si>
  <si>
    <t>FONDO JBN</t>
  </si>
  <si>
    <t>FONDO YUG</t>
  </si>
  <si>
    <t>TOTAL INVERTIDO</t>
  </si>
  <si>
    <t>GRAN TOTAL</t>
  </si>
  <si>
    <t>OBJETIVO</t>
  </si>
  <si>
    <t>CUOTAS</t>
  </si>
  <si>
    <t>HACIENDA</t>
  </si>
  <si>
    <t>AHORRADO</t>
  </si>
  <si>
    <t>RESTO HIPOTECA</t>
  </si>
  <si>
    <t>RESTO LOCAL</t>
  </si>
  <si>
    <t>AÑO 2025</t>
  </si>
  <si>
    <t>AÑO 2026</t>
  </si>
  <si>
    <t xml:space="preserve">AHORRO </t>
  </si>
  <si>
    <t>AÑO 2027</t>
  </si>
  <si>
    <t>SIN CONTAR AMORTIZACION</t>
  </si>
  <si>
    <t>AHORRO *</t>
  </si>
  <si>
    <t>AÑO 2028</t>
  </si>
  <si>
    <t>AÑO 2029</t>
  </si>
  <si>
    <t>AÑO 2030</t>
  </si>
  <si>
    <t>CASH EN SANTANDER A PRIMEROS DE MES</t>
  </si>
  <si>
    <t>CASH EN KUTXA A PRIMEROS DE MES</t>
  </si>
  <si>
    <t>CASH EN N26 A PRIMEROS DE MES</t>
  </si>
  <si>
    <t>A primeros de  2028 tendremos pendiente 6.800€</t>
  </si>
  <si>
    <t>CASH EN EPSV KUTXA JULIO PRIMEROS DE MES</t>
  </si>
  <si>
    <t>CASH EN EPSV KUTXA YOLANDA PRIMEROS DE MES</t>
  </si>
  <si>
    <t>CASH EN SANTANDER FIN DE MES</t>
  </si>
  <si>
    <t>CASH EN KUTXA FIN DE MES</t>
  </si>
  <si>
    <t xml:space="preserve">CASH EN N26 A FIN DE MES </t>
  </si>
  <si>
    <t>CASH EN EPSV KUTXA JULIO FIN DE MES</t>
  </si>
  <si>
    <t>CASH EN EPSV KUTXA YOLANDA FIN DE MES</t>
  </si>
  <si>
    <t>BANCO</t>
  </si>
  <si>
    <t>CONCEPTO</t>
  </si>
  <si>
    <t>DIA</t>
  </si>
  <si>
    <t>OBSERVACIONES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</si>
  <si>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</si>
  <si>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</si>
  <si>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</si>
  <si>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</si>
  <si>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</si>
  <si>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</si>
  <si>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</si>
  <si>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</si>
  <si>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</si>
  <si>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</si>
  <si>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</si>
  <si>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</si>
  <si>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</si>
  <si>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INGRESOS</t>
  </si>
  <si>
    <t>NOMINA JULIO</t>
  </si>
  <si>
    <t>NOMINA JULIO 2</t>
  </si>
  <si>
    <t>PAGA JULIO</t>
  </si>
  <si>
    <t>OTROS INGRESOS</t>
  </si>
  <si>
    <t>DECLARACION JULIO</t>
  </si>
  <si>
    <t>DECLARACION YOLANDA</t>
  </si>
  <si>
    <t>GESTION COMUNIDAD</t>
  </si>
  <si>
    <t>TRASFERENCIA DESDE KUTXA</t>
  </si>
  <si>
    <t>TRASFERENCIA DESDE N26</t>
  </si>
  <si>
    <t>NOMINA YOLANDA</t>
  </si>
  <si>
    <t>INGRESO OTROS</t>
  </si>
  <si>
    <t>TRASFERENCIA DESDE SANTANDER</t>
  </si>
  <si>
    <t>TRASFERENCIA DESDE SANTANDER-1- IMPREVISTOS</t>
  </si>
  <si>
    <t>TRASFERENCIA DESDE SANTANDER-2-AHORROS</t>
  </si>
  <si>
    <t>GASTOS</t>
  </si>
  <si>
    <t>HIPOTECA</t>
  </si>
  <si>
    <t>GASTO</t>
  </si>
  <si>
    <t>1</t>
  </si>
  <si>
    <t xml:space="preserve">COMUNIDAD </t>
  </si>
  <si>
    <t>5</t>
  </si>
  <si>
    <t>EKILUZ CUOTA</t>
  </si>
  <si>
    <t>1-3</t>
  </si>
  <si>
    <t>EUSKALTEL / DIGI</t>
  </si>
  <si>
    <t>28</t>
  </si>
  <si>
    <t>GAS (Total Energies)</t>
  </si>
  <si>
    <t>22-23</t>
  </si>
  <si>
    <t>GIPUZKOAKO URAK</t>
  </si>
  <si>
    <t>10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</si>
  <si>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</si>
  <si>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SEGURO VIDA 1 (SANTANDER SEG)</t>
  </si>
  <si>
    <t>SEGURO VIDA 2 (SANTANDER SEG)</t>
  </si>
  <si>
    <t>CONTRIBUCION.IBI URBANA (Eibarko udala)</t>
  </si>
  <si>
    <t>ESTUDIOS AMAIA</t>
  </si>
  <si>
    <t>ESTUDIOS OLATZ</t>
  </si>
  <si>
    <t>TRANSPORTE AMAIA</t>
  </si>
  <si>
    <t>TRANSPORTE OLATZ</t>
  </si>
  <si>
    <t>TRANSPORTE YOLI</t>
  </si>
  <si>
    <t>LAB</t>
  </si>
  <si>
    <t>IMP.CIRCULACION (Eibarko udala) LEON</t>
  </si>
  <si>
    <t>ITV LEON</t>
  </si>
  <si>
    <t>GASOLINA LEON</t>
  </si>
  <si>
    <t>IBI GARAJE</t>
  </si>
  <si>
    <t>CUOTA GARAJE (Cdad. Ubitxa n 22)</t>
  </si>
  <si>
    <t>ABIATU/BIDEGI</t>
  </si>
  <si>
    <t>20</t>
  </si>
  <si>
    <t>POLIDEPORTIVO</t>
  </si>
  <si>
    <t>CD EIBAR JULIO</t>
  </si>
  <si>
    <t>CD EIBAR YOLANDA</t>
  </si>
  <si>
    <t>CD EIBAR OLATZ</t>
  </si>
  <si>
    <t>CD EIBAR AMAIA</t>
  </si>
  <si>
    <t>LICENCIA FEDERADO (LABORAL)</t>
  </si>
  <si>
    <t>SOCIEDAD OTARRA (KUTXA)</t>
  </si>
  <si>
    <t>NETFLIX+HBO</t>
  </si>
  <si>
    <t>OFFICE 365</t>
  </si>
  <si>
    <t>PAYPAL-SANTANDER</t>
  </si>
  <si>
    <t>AMAZON MUSIC</t>
  </si>
  <si>
    <t>DOMESTIKA</t>
  </si>
  <si>
    <t>8</t>
  </si>
  <si>
    <t>HP INSTANTK</t>
  </si>
  <si>
    <t>DAZN</t>
  </si>
  <si>
    <t>2-7</t>
  </si>
  <si>
    <t>ADOBE CREATIVE CLOUD</t>
  </si>
  <si>
    <t>27-30</t>
  </si>
  <si>
    <t>EUSKAL ARTZAIN TXAKURRA</t>
  </si>
  <si>
    <t>AMAZON PREMIUM</t>
  </si>
  <si>
    <t>CUOTA CONSUMO</t>
  </si>
  <si>
    <t>GOOGLE ONE</t>
  </si>
  <si>
    <t>PRESTAMO OLATZ</t>
  </si>
  <si>
    <t>PRESTAMO / INVERSION</t>
  </si>
  <si>
    <t>HIPOTECA AMORTIZACION EXTRA</t>
  </si>
  <si>
    <t>INVERSION</t>
  </si>
  <si>
    <t>TRASPASO DESDE SANTANDER A FONDO JBN</t>
  </si>
  <si>
    <t>TRASPASO DESDE SANTANDER A FONDO YUG</t>
  </si>
  <si>
    <t>TRASPASO DESDE SANTANDER A KUTXA</t>
  </si>
  <si>
    <t>TRASPASO</t>
  </si>
  <si>
    <t>TRASPASO DESDE SANTANDER A N26 -1-IMPREVISTOS</t>
  </si>
  <si>
    <t>TRASPASO DESDE SANTANDER A N26 -2-AHORROS</t>
  </si>
  <si>
    <t>TRASPASO DESDE SANTANDER A INDEXA</t>
  </si>
  <si>
    <t>MEDIA / MES</t>
  </si>
  <si>
    <t xml:space="preserve">GASTOS </t>
  </si>
  <si>
    <t>SEGURO COCHE SEAT</t>
  </si>
  <si>
    <t xml:space="preserve">SEGURO HOGAR </t>
  </si>
  <si>
    <t>SEGURO URKI BAJO</t>
  </si>
  <si>
    <t>6</t>
  </si>
  <si>
    <t>AGUA URKI BAJO</t>
  </si>
  <si>
    <t>IBI URKI BAJO</t>
  </si>
  <si>
    <t>INTERNET URKI BAJO</t>
  </si>
  <si>
    <t>DERRAMA URKI BAJO</t>
  </si>
  <si>
    <t>IBERDROLA URKI BAJO</t>
  </si>
  <si>
    <t>1&amp;1 (PIXDEMIA)</t>
  </si>
  <si>
    <t>PAGA OLATZ</t>
  </si>
  <si>
    <t>PAGA AMAIA</t>
  </si>
  <si>
    <t>FURGONETA</t>
  </si>
  <si>
    <t>ALQUILER PISO VITORIA</t>
  </si>
  <si>
    <t>LOCAL UBITXA</t>
  </si>
  <si>
    <t>FONDO PENSION JBN</t>
  </si>
  <si>
    <t>FONDO PENSION YUG</t>
  </si>
  <si>
    <t>TRASPASO DESDE KUTXA  A SANTANDER</t>
  </si>
  <si>
    <t xml:space="preserve">TRASPASO DESDE KUTXA A N26 </t>
  </si>
  <si>
    <t>TRASPASO DESDE KUTXA A INDEXA</t>
  </si>
  <si>
    <t>INCIDENCIAS, AVERIA HOGAR</t>
  </si>
  <si>
    <t>KALA</t>
  </si>
  <si>
    <t>VARIOS. SALUD(DENTISTA,PODOLOGA,..)</t>
  </si>
  <si>
    <t xml:space="preserve">GASTOS COCHE </t>
  </si>
  <si>
    <t>MOVILES / PORTATILES</t>
  </si>
  <si>
    <t>OBRAS</t>
  </si>
  <si>
    <t>BODAS</t>
  </si>
  <si>
    <t>PRESTAMO</t>
  </si>
  <si>
    <t>GASTO / INVERSION</t>
  </si>
  <si>
    <t>TRASPASO DESDE N26 A SANTANDER</t>
  </si>
  <si>
    <t>TRASPASO DESDE N26 A KUTXA</t>
  </si>
  <si>
    <t>TRASPASO DESDE N26 A INDEXA</t>
  </si>
  <si>
    <t>INVERSIONES/COMPRAS</t>
  </si>
  <si>
    <t>TOTAL INGRESOS SANTANDER</t>
  </si>
  <si>
    <t>TOTAL GASTOS SANTANDER</t>
  </si>
  <si>
    <t>TOTAL INGRESOS KUTXA</t>
  </si>
  <si>
    <t>TOTAL GASTOS KUTXA</t>
  </si>
  <si>
    <t>TOTAL INGRESOS N26</t>
  </si>
  <si>
    <t>TOTAL GASTOS N26</t>
  </si>
  <si>
    <t>TOTAL INGRESOS</t>
  </si>
  <si>
    <t xml:space="preserve">TOTAL GASTOS </t>
  </si>
  <si>
    <t>Congelado 04/03/2024</t>
  </si>
  <si>
    <t>Universidad</t>
  </si>
  <si>
    <t xml:space="preserve">DIA </t>
  </si>
  <si>
    <t>TIENDA</t>
  </si>
  <si>
    <t>CATEGORIA</t>
  </si>
  <si>
    <t>CANTIDAD</t>
  </si>
  <si>
    <t>PAGO CAJERO</t>
  </si>
  <si>
    <t>GASTOS TARJETA</t>
  </si>
  <si>
    <t>REFORMAS</t>
  </si>
  <si>
    <t>GASTADO</t>
  </si>
  <si>
    <t>CARREFOUR</t>
  </si>
  <si>
    <t>AMAZON</t>
  </si>
  <si>
    <t>EROSKI</t>
  </si>
  <si>
    <t>DECATHLON</t>
  </si>
  <si>
    <t>PAYPAL</t>
  </si>
  <si>
    <t>G.TARJETA SIN AMAZON</t>
  </si>
  <si>
    <t>GASTOS PARA N26</t>
  </si>
  <si>
    <t>GASTOS PARA KUTXA</t>
  </si>
  <si>
    <t>GASTOS PARA SANTANDER</t>
  </si>
  <si>
    <t>SIN HIPOTECA
SIN PRESTAMO
CON LOCAL URKI BAJO
SIN ALQUILER VITORIA
SIN TRASPORTE/SIN MATRICULAS</t>
  </si>
  <si>
    <t>CON HIPOTECA
SIN PRESTAMO
SIN LOCAL URKI BAJO
CON ALQUILER VITORIA</t>
  </si>
  <si>
    <t>CON HIPOTECA
SIN PRESTAMO
SIN LOCAL URKI BAJO
SIN ALQUILER VITORIA</t>
  </si>
  <si>
    <t>MENSUAL</t>
  </si>
  <si>
    <t>PAGA VERANO</t>
  </si>
  <si>
    <t>ANUAL</t>
  </si>
  <si>
    <t>PAGA NAVIDAD</t>
  </si>
  <si>
    <t>NOMINA YOLI</t>
  </si>
  <si>
    <t>AHORRO</t>
  </si>
  <si>
    <t>CASA</t>
  </si>
  <si>
    <t>ESTUDIOS</t>
  </si>
  <si>
    <t>SINDICATO</t>
  </si>
  <si>
    <t>COCHE</t>
  </si>
  <si>
    <t>TRANSPORTE</t>
  </si>
  <si>
    <t>OCIO</t>
  </si>
  <si>
    <t>LOCALES</t>
  </si>
  <si>
    <t>PAGAS</t>
  </si>
  <si>
    <t>ALQUILERES</t>
  </si>
  <si>
    <t>AVERIAS COCHE</t>
  </si>
  <si>
    <t>MASCOTA</t>
  </si>
  <si>
    <t>TECNOLOGIA</t>
  </si>
  <si>
    <t>SALUD</t>
  </si>
  <si>
    <t>COSTE</t>
  </si>
  <si>
    <t>TIPO</t>
  </si>
  <si>
    <t>AL MES</t>
  </si>
  <si>
    <t xml:space="preserve">PRESCINDIBLE </t>
  </si>
  <si>
    <t>NO</t>
  </si>
  <si>
    <t>SI</t>
  </si>
  <si>
    <t>X</t>
  </si>
  <si>
    <t>LOCAL AMAIA/OLATZ</t>
  </si>
  <si>
    <t>TRIMESTRAL</t>
  </si>
  <si>
    <t>BIMENSUAL</t>
  </si>
  <si>
    <t>IBERDROLA (CUNENERGIA)</t>
  </si>
  <si>
    <t>EUSKALTEL</t>
  </si>
  <si>
    <t>MARGO ESKOLA (Eibarko udala)</t>
  </si>
  <si>
    <t>VIAJES Y GASTOS ASOCIADOS ESCUELA</t>
  </si>
  <si>
    <t>SEGURO COCHE ZAFIRA</t>
  </si>
  <si>
    <t>IMP.CIRCULACION (Eibarko udala) ZAFIRA</t>
  </si>
  <si>
    <t>ITV ZAFIRA</t>
  </si>
  <si>
    <t>GASOLINA ZAFIRA</t>
  </si>
  <si>
    <t>GASTOS COCHE ZAFIRA</t>
  </si>
  <si>
    <t>AMAZON KINDLE UNLIMITED</t>
  </si>
  <si>
    <t>AMAZON AUDIBLE</t>
  </si>
  <si>
    <t>APPLE TV+</t>
  </si>
  <si>
    <t>DISNEY +</t>
  </si>
  <si>
    <t>MITELE</t>
  </si>
  <si>
    <t>MOVISTAR LITE+</t>
  </si>
  <si>
    <t>A3PLAYER</t>
  </si>
  <si>
    <t>PS PLUS+PS NOW</t>
  </si>
  <si>
    <t>XBOX GAME PASS ULTIMATE</t>
  </si>
  <si>
    <t>SERVICIO DIETA</t>
  </si>
  <si>
    <t>SERVICIO FITNESS</t>
  </si>
  <si>
    <t>IBERDROLA ARDANZA</t>
  </si>
  <si>
    <t>AGUA ARDANZA</t>
  </si>
  <si>
    <t>IBI ARDANZA</t>
  </si>
  <si>
    <t>SEGURO ARDANZA (AXA)</t>
  </si>
  <si>
    <t>DERRAMA ARDANZA</t>
  </si>
  <si>
    <t>SEGURO COCHE LEON (KUTXA)</t>
  </si>
  <si>
    <t>SEGURO HOGAR (KUTXA)</t>
  </si>
  <si>
    <t>FONDO DE PENSIONES JBN</t>
  </si>
  <si>
    <t>FONDO PENSIONES YUG</t>
  </si>
  <si>
    <t>VARIOS. SALUD (DENTISTA,PODOLOGA,..)</t>
  </si>
  <si>
    <t>OBRAS/REPARACIONES COMUNIDAD/CASA/LOCAL</t>
  </si>
  <si>
    <t>MOVILES / PORTATILES / TABLETAS….</t>
  </si>
  <si>
    <t>MES TERMINADO</t>
  </si>
  <si>
    <t>No</t>
  </si>
  <si>
    <t>GASTO PREVISTO MES KUTXA TIPO 1</t>
  </si>
  <si>
    <t>GASTO PREVISTO MES KUTXA TIPO 2</t>
  </si>
  <si>
    <t xml:space="preserve"> ---- GASTOS ASOCIADOS A KUTXA 1</t>
  </si>
  <si>
    <t xml:space="preserve"> ---- GASTOS ASOCIADOS A KUTXA 2</t>
  </si>
  <si>
    <t>GASTO PREVISTO MES N26 TIPO 1</t>
  </si>
  <si>
    <t xml:space="preserve"> ---- GASTOS ASOCIADOS A N26</t>
  </si>
  <si>
    <t>GASTO PREVISTO MES SANTANDER TIPO 2</t>
  </si>
  <si>
    <t xml:space="preserve"> ---- GASTOS ASOCIADOS A SANTANDER</t>
  </si>
  <si>
    <t>CONTROL GASTOS SANTANDER (1.835€/MES)</t>
  </si>
  <si>
    <t>GASTOS TIPO 1</t>
  </si>
  <si>
    <t>SALDO ACUMULADO KUTXA</t>
  </si>
  <si>
    <t>GASTO POSIBLE AL MES KUTXA</t>
  </si>
  <si>
    <t>SALDO ACUMULADO N26</t>
  </si>
  <si>
    <t>GASTO POSIBLE AL MES N26</t>
  </si>
  <si>
    <t>KUTXA GASTOS TIPO 2</t>
  </si>
  <si>
    <t>Meses</t>
  </si>
  <si>
    <t>Mes</t>
  </si>
  <si>
    <t>Año</t>
  </si>
  <si>
    <t xml:space="preserve">PISO </t>
  </si>
  <si>
    <t xml:space="preserve">JUANCAR </t>
  </si>
  <si>
    <t>SEG COCHE</t>
  </si>
  <si>
    <t>SEG CASA</t>
  </si>
  <si>
    <t>SEG LOCAL</t>
  </si>
  <si>
    <t>FONDO</t>
  </si>
  <si>
    <t xml:space="preserve">IBERDROLA </t>
  </si>
  <si>
    <t>AGUA</t>
  </si>
  <si>
    <t>IBI LOCAL</t>
  </si>
  <si>
    <t>TOTAL AL MES</t>
  </si>
  <si>
    <t>JUANCAR</t>
  </si>
  <si>
    <t>AÑO</t>
  </si>
  <si>
    <t>MES</t>
  </si>
  <si>
    <t>AMORTIZADO</t>
  </si>
  <si>
    <t>INTERESES</t>
  </si>
  <si>
    <t>RESTO</t>
  </si>
  <si>
    <t>AHORRO 1</t>
  </si>
  <si>
    <t>AHORRO 2</t>
  </si>
  <si>
    <t>ESCENARIO 1</t>
  </si>
  <si>
    <t>ESCENARIO 2</t>
  </si>
  <si>
    <t>ESCENARIO 3</t>
  </si>
  <si>
    <t>ESCENARIO 4</t>
  </si>
  <si>
    <t>AMORTIZACION</t>
  </si>
  <si>
    <t>Disponible</t>
  </si>
  <si>
    <t>Pendiente Hipoteca</t>
  </si>
  <si>
    <t>Hacienda</t>
  </si>
  <si>
    <t>Cuotas</t>
  </si>
  <si>
    <t>Ahorro</t>
  </si>
  <si>
    <t>A partir de Abril de 2027 tendriamos 850€ (de la hipoteca + 425€ del ahorro disponibles)</t>
  </si>
  <si>
    <t>En abril 2029 habriamos pagado la hipoteca y habriamos estado pagando 5 años de coche. Nos querdarian 1.</t>
  </si>
  <si>
    <t>1275€ al mes</t>
  </si>
  <si>
    <t>Cuota de 617€ (200€ mas que los 425€ disponibles)</t>
  </si>
  <si>
    <t>En un año 15300€ (Abril 2028)</t>
  </si>
  <si>
    <t>En dos años 30600€ (Abril 2029)</t>
  </si>
  <si>
    <t>Pagando al mes 625€ de financiación a los dos años tendriamos 650x24=15.600€</t>
  </si>
  <si>
    <t>2030 casa,coche y local pagado</t>
  </si>
  <si>
    <t>En 2027 Casa pagada</t>
  </si>
  <si>
    <t>En 2029-2030 Coche pagado</t>
  </si>
  <si>
    <t>En 2030 Local pagado</t>
  </si>
  <si>
    <t>Al contado</t>
  </si>
  <si>
    <t>Financiado</t>
  </si>
  <si>
    <t>Años</t>
  </si>
  <si>
    <t>Cuota</t>
  </si>
  <si>
    <t>Total</t>
  </si>
  <si>
    <t>Intereses</t>
  </si>
  <si>
    <t>Intereses mes</t>
  </si>
  <si>
    <t>Intereses 1 año</t>
  </si>
  <si>
    <t>Intereses 18 meses</t>
  </si>
  <si>
    <t>Intereses 2 años</t>
  </si>
  <si>
    <t>Intereses 3 años</t>
  </si>
  <si>
    <t>Intereses 5 años</t>
  </si>
  <si>
    <t>Intereses 6 años</t>
  </si>
  <si>
    <t>Intereses 7 años</t>
  </si>
  <si>
    <t>Intereses 8 años</t>
  </si>
  <si>
    <t>GASTO ACTUAL</t>
  </si>
  <si>
    <t>GASTO PREVISTO</t>
  </si>
  <si>
    <t>GASTO PENDIENTE</t>
  </si>
  <si>
    <t>GASTOS ASOCIADOS A KUTXA (TIPO 1 + TIPO 2)</t>
  </si>
  <si>
    <t>GASTOS ASOCIADOS A  N26 (TIPO 1)</t>
  </si>
  <si>
    <t>Esta incluido el traspaso a N26</t>
  </si>
  <si>
    <t>S</t>
  </si>
  <si>
    <t>GASTO PREVISTO MES SANTANDER TIPO 1</t>
  </si>
  <si>
    <t>GASTOS ASOCIADOS A SANTANDER (TIPO 1 + TIPO 2)</t>
  </si>
  <si>
    <t>* EL SALDO ES NEGATIVO PERO NO PARTIMOS DE 0, PARTIMOS DE 9318€</t>
  </si>
  <si>
    <t>GASTOS  TIPO 1</t>
  </si>
  <si>
    <t>* INCLUYENDO INGRESOS DE OTRAS CUENTAS</t>
  </si>
  <si>
    <t>* INCLUYENDO TRASFERENCIAS A OTRAS CUENTAS</t>
  </si>
  <si>
    <t xml:space="preserve"> ---- GASTOS ASOCIADOS A SANTANDER 1</t>
  </si>
  <si>
    <t>N</t>
  </si>
  <si>
    <t>GASTOS TIPO 2</t>
  </si>
  <si>
    <t>GASTOS TIPO 1 + TIPO 2</t>
  </si>
  <si>
    <t>SIMPLY</t>
  </si>
  <si>
    <t>BALIZA</t>
  </si>
  <si>
    <t>ARENAL</t>
  </si>
  <si>
    <t>K</t>
  </si>
  <si>
    <t>PELUQUERIA</t>
  </si>
  <si>
    <t>BIZUM</t>
  </si>
  <si>
    <t>TRANSPORTE YOLI / OLATZ / AMAIA (MUGI/BARIK)</t>
  </si>
  <si>
    <t>NETFLIX</t>
  </si>
  <si>
    <t>9</t>
  </si>
  <si>
    <t>ASADOR IBAI-ONDO</t>
  </si>
  <si>
    <t>MERCERIA TXUKUNA</t>
  </si>
  <si>
    <t>4X4</t>
  </si>
  <si>
    <t>LEROY MERLIN</t>
  </si>
  <si>
    <t>MUEBLE Y GRIFERIA BAÑO</t>
  </si>
  <si>
    <t>DEVOLUCION</t>
  </si>
  <si>
    <t>PRO</t>
  </si>
  <si>
    <t>TEMU</t>
  </si>
  <si>
    <t>PARAGUAS Y PARCHES</t>
  </si>
  <si>
    <t>BOULEVARD PRIMARK</t>
  </si>
  <si>
    <t>DGT MULTA JUANTXO</t>
  </si>
  <si>
    <t>LIDL</t>
  </si>
  <si>
    <t>MINERVA</t>
  </si>
  <si>
    <t>PLANTILLAS PODOLOGO YOLI</t>
  </si>
  <si>
    <t>TRASPASO A REVOLUT</t>
  </si>
  <si>
    <t>INGRESO NIÑAS LONDRES</t>
  </si>
  <si>
    <t>PREMARCO</t>
  </si>
  <si>
    <t>PRIMAPRIX</t>
  </si>
  <si>
    <t>LUZ AMAIA</t>
  </si>
  <si>
    <t>PISO VITORIA</t>
  </si>
  <si>
    <t>ENCHUFE UK</t>
  </si>
  <si>
    <t>GASTOS LONDRES</t>
  </si>
  <si>
    <t>TRASPASO REVOLUT</t>
  </si>
  <si>
    <t>ARKUPE</t>
  </si>
  <si>
    <t>COMIDA INDIO LONDRES</t>
  </si>
  <si>
    <t>GAIL´S LONDRES</t>
  </si>
  <si>
    <t>CAFES</t>
  </si>
  <si>
    <t>HONEST BURGUERS</t>
  </si>
  <si>
    <t>PRET A MANGER</t>
  </si>
  <si>
    <t>PFOTOPRIX</t>
  </si>
  <si>
    <t>AEROPUERTO BILBO</t>
  </si>
  <si>
    <t>BOSSA</t>
  </si>
  <si>
    <t>NUVOLA</t>
  </si>
  <si>
    <t>FOTOPRIX</t>
  </si>
  <si>
    <t>BASQUE STREET FOOD</t>
  </si>
  <si>
    <t>LRORY MERLIN</t>
  </si>
  <si>
    <t>PRIMARK</t>
  </si>
  <si>
    <t>BRICO DEPOT</t>
  </si>
  <si>
    <t>CLAIRE</t>
  </si>
  <si>
    <t>Sí</t>
  </si>
  <si>
    <t>FARMACIA CASTAÑO</t>
  </si>
  <si>
    <t>RESTAURANTE TXINPARTA</t>
  </si>
  <si>
    <t>NATURA</t>
  </si>
  <si>
    <t>KRUNCH</t>
  </si>
  <si>
    <t>BM</t>
  </si>
  <si>
    <t>KRONOAK</t>
  </si>
  <si>
    <t>BAR VITORIA</t>
  </si>
  <si>
    <t>ANCHUSTEGUI</t>
  </si>
  <si>
    <t>MILBBY</t>
  </si>
  <si>
    <t>KOROSHI</t>
  </si>
  <si>
    <t>PIERRE&amp;VACANCES</t>
  </si>
  <si>
    <t>FISIOARIMA</t>
  </si>
  <si>
    <t>MANGO</t>
  </si>
  <si>
    <t>ALDI</t>
  </si>
  <si>
    <t>VINTED</t>
  </si>
  <si>
    <t>MULTOPTICAS</t>
  </si>
  <si>
    <t>Aliexpress</t>
  </si>
  <si>
    <t>just eat</t>
  </si>
  <si>
    <t>Toogoogtogo</t>
  </si>
  <si>
    <t>Spotify</t>
  </si>
  <si>
    <t>INGRESO OTROS. NOMINA COBRADA MES ANTERIOR</t>
  </si>
  <si>
    <t>FACTURA LUZ</t>
  </si>
  <si>
    <t>FACTURA AGUA</t>
  </si>
  <si>
    <t>COMPRA</t>
  </si>
  <si>
    <t>REONOR</t>
  </si>
  <si>
    <t>PLADUR</t>
  </si>
  <si>
    <t>JustEat</t>
  </si>
  <si>
    <t>AZKENA</t>
  </si>
  <si>
    <t>AMAIA</t>
  </si>
  <si>
    <t>GALLETAS</t>
  </si>
  <si>
    <t>MUGI</t>
  </si>
  <si>
    <t>OLATZ</t>
  </si>
  <si>
    <t>FORUM</t>
  </si>
  <si>
    <t>MUNKUKUONA</t>
  </si>
  <si>
    <t>RKS GARBERA</t>
  </si>
  <si>
    <t>SAS MOLIDIS</t>
  </si>
  <si>
    <t>AMAZONE CAFÉ</t>
  </si>
  <si>
    <t>KARINGA</t>
  </si>
  <si>
    <t>EUSKALDUNA TABERNA</t>
  </si>
  <si>
    <t>ITXAS-LUR</t>
  </si>
  <si>
    <t>FLM023</t>
  </si>
  <si>
    <t>SUSCRIPCION CLAUDE</t>
  </si>
  <si>
    <t>LURRE. TIENDA CALBETON</t>
  </si>
  <si>
    <t>BAZAR MERCACHINA</t>
  </si>
  <si>
    <t>EUSKALTEGI C2</t>
  </si>
  <si>
    <t>BUENOS AIRES</t>
  </si>
  <si>
    <t>TXOKO</t>
  </si>
  <si>
    <t>LONDRES</t>
  </si>
  <si>
    <t>OP.NET</t>
  </si>
  <si>
    <t xml:space="preserve">BIZUM </t>
  </si>
  <si>
    <t>BOKATA</t>
  </si>
  <si>
    <t>IMPUESTO CIRCULACION</t>
  </si>
  <si>
    <t>IBUR ERREKA</t>
  </si>
  <si>
    <t>COMPRA DOS SEMANAS</t>
  </si>
  <si>
    <t>TOALLAS EVA</t>
  </si>
  <si>
    <t>TRASFERENCIA</t>
  </si>
  <si>
    <t>DERRAMA URKI BAJO 9</t>
  </si>
  <si>
    <t>RETIRADA</t>
  </si>
  <si>
    <t>RIFF</t>
  </si>
  <si>
    <t>SILLA ESCRITORIO</t>
  </si>
  <si>
    <t>DELIKIA</t>
  </si>
  <si>
    <t>ELORTZA</t>
  </si>
  <si>
    <t>MERCACHINA</t>
  </si>
  <si>
    <t>GASOLINA</t>
  </si>
  <si>
    <t>CLAUDE</t>
  </si>
  <si>
    <t>GEL DECAPANTE</t>
  </si>
  <si>
    <t>PELICULA DEMOLICION</t>
  </si>
  <si>
    <t>ORLA</t>
  </si>
  <si>
    <t>PASTILLAS KALA</t>
  </si>
  <si>
    <t>IXUA</t>
  </si>
  <si>
    <t>FARMALUR</t>
  </si>
  <si>
    <t>AKARA</t>
  </si>
  <si>
    <t>IKEA</t>
  </si>
  <si>
    <t>DONGA</t>
  </si>
  <si>
    <t>ZARA</t>
  </si>
  <si>
    <t>MERCADONA</t>
  </si>
  <si>
    <t>JUST-EAT</t>
  </si>
  <si>
    <t>CLAUDE?</t>
  </si>
  <si>
    <t xml:space="preserve"> </t>
  </si>
  <si>
    <t>RETIRADAS EFECTIVO</t>
  </si>
  <si>
    <t>DEPOR</t>
  </si>
  <si>
    <t>FRUTERIA ZELAIA</t>
  </si>
  <si>
    <t>WOMEN SECRET</t>
  </si>
  <si>
    <t>SHEIN</t>
  </si>
  <si>
    <t>NIRE ORDAINKETA</t>
  </si>
  <si>
    <t>BIZUM COMPRA</t>
  </si>
  <si>
    <t>ARAT</t>
  </si>
  <si>
    <t>KONTENT</t>
  </si>
  <si>
    <t>IBERDROLA (CUNENERGIA) / EKILUZ / REPSOL</t>
  </si>
  <si>
    <t>JUEGO EPIC</t>
  </si>
  <si>
    <t>SILLA TIK TOK</t>
  </si>
  <si>
    <t>ADELANTO RIFF</t>
  </si>
  <si>
    <t>RETIRADA EFECTIVO</t>
  </si>
  <si>
    <t>PARFOIS</t>
  </si>
  <si>
    <t>BOSANOVA</t>
  </si>
  <si>
    <t>BURGER HUB</t>
  </si>
  <si>
    <t>ARTOLA</t>
  </si>
  <si>
    <t>MERKAL</t>
  </si>
  <si>
    <t>CALZADOS RIVERO</t>
  </si>
  <si>
    <t>PELUQUERIA KALA</t>
  </si>
  <si>
    <t>CAMARA</t>
  </si>
  <si>
    <t>DEPORVILLAGE</t>
  </si>
  <si>
    <t>REGALO YOLI</t>
  </si>
  <si>
    <t>ZAPATILLAS YOLI</t>
  </si>
  <si>
    <t>MANOMANO</t>
  </si>
  <si>
    <t>VENTILADOR</t>
  </si>
  <si>
    <t xml:space="preserve">REST IRU.BIDE </t>
  </si>
  <si>
    <t>ALSASUA</t>
  </si>
  <si>
    <t>OSATE</t>
  </si>
  <si>
    <t>CAMPING OCHAGABIA</t>
  </si>
  <si>
    <t>op.net</t>
  </si>
  <si>
    <t>CAJERO</t>
  </si>
  <si>
    <t>ANTHROPIC</t>
  </si>
  <si>
    <t>CON HIPOTECA
SIN PRESTAMO
CON LOCAL URKI BAJO
CON ALQUILER VITORIA</t>
  </si>
  <si>
    <t>CON HIPOTECA
CON PRESTAMO
CON LOCAL URKI BAJO
SIN ALQUILER VITORIA
SIN TRASPORTE/SIN MATRICULAS</t>
  </si>
  <si>
    <t>HOSPITAL</t>
  </si>
  <si>
    <t>COMIDA</t>
  </si>
  <si>
    <t>PUESTA A PUNTO</t>
  </si>
  <si>
    <t>WIKILOC</t>
  </si>
  <si>
    <t>JUSTEAT</t>
  </si>
  <si>
    <t>ZARAUTZ. DIA GETARIA-ZARAUTZ</t>
  </si>
  <si>
    <t>ALBIE.</t>
  </si>
  <si>
    <t>HOSPITAL DONOSTI</t>
  </si>
  <si>
    <t>VETERINARIO</t>
  </si>
  <si>
    <t>LOOMISP</t>
  </si>
  <si>
    <t>COMIDA ZARAUTZ</t>
  </si>
  <si>
    <t>IZADI LORADENDA</t>
  </si>
  <si>
    <t>EXPRESS CAFETERIA</t>
  </si>
  <si>
    <t>FNAC</t>
  </si>
  <si>
    <t>CASA DEL LIBRO</t>
  </si>
  <si>
    <t>BAR TOLOSA</t>
  </si>
  <si>
    <t>MERCATO</t>
  </si>
  <si>
    <t>PARKING LUMBIER</t>
  </si>
  <si>
    <t>ARRATE</t>
  </si>
  <si>
    <t>CAMISETA</t>
  </si>
  <si>
    <t>ÑAM MEGAPARK</t>
  </si>
  <si>
    <t>KULTU</t>
  </si>
  <si>
    <t>TRAMAS</t>
  </si>
  <si>
    <t>ALCAMPO</t>
  </si>
  <si>
    <t>HBO+SKYSHOWTIME (RICAR)</t>
  </si>
  <si>
    <t>BALANCE GASTOS N26 (500€/MES)</t>
  </si>
  <si>
    <t>BALANCE GASTOS KUTXA 2 (1.000€/MES)</t>
  </si>
  <si>
    <t>BALANCE GASTOS KUTXA 1 (1.400€/MES)</t>
  </si>
  <si>
    <t xml:space="preserve">BALANCE GASTOS SANTANDER 1 </t>
  </si>
  <si>
    <t>INCLUIDO</t>
  </si>
  <si>
    <t>HIPOTECA 1</t>
  </si>
  <si>
    <t>HIPOTECA 2</t>
  </si>
  <si>
    <t>ALQUILER VITORIA</t>
  </si>
  <si>
    <t>OBRAS LOCAL 6600</t>
  </si>
  <si>
    <t>TIK TOK SHOP</t>
  </si>
  <si>
    <t>TOALLA</t>
  </si>
  <si>
    <t>FAN ARREGLOS</t>
  </si>
  <si>
    <t>PANTALONES OLATZ</t>
  </si>
  <si>
    <t>CINESA</t>
  </si>
  <si>
    <t>C.BOULEVARD</t>
  </si>
  <si>
    <t>PINTXOS, CAFÉ Y MOSTO</t>
  </si>
  <si>
    <t>RESTAURANTE LUISA</t>
  </si>
  <si>
    <t>MOVISTAR PLUS</t>
  </si>
  <si>
    <t>DISNEY PLUS</t>
  </si>
  <si>
    <t>APPLE TV</t>
  </si>
  <si>
    <t>4,99</t>
  </si>
  <si>
    <t>7</t>
  </si>
  <si>
    <t>7+9 (AMAZON)</t>
  </si>
  <si>
    <t>10 (AMAZON)</t>
  </si>
  <si>
    <t>BIDE-BIDE</t>
  </si>
  <si>
    <t>ARBELAITZ</t>
  </si>
  <si>
    <t>VIPS GARBERA</t>
  </si>
  <si>
    <t>BIZUM MILBY</t>
  </si>
  <si>
    <t>KIOSKO UNZAGA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</si>
</sst>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_€"/>
    <numFmt numFmtId="165" formatCode="#,##0.00&quot; €&quot;"/>
    <numFmt numFmtId="166" formatCode="#,##0.0000&quot; €&quot;"/>
    <numFmt numFmtId="167" formatCode="#,##0&quot; €&quot;"/>
    <numFmt numFmtId="168" formatCode="#,##0.00&quot; €&quot;;[Red]\-#,##0.00&quot; €&quot;"/>
    <numFmt numFmtId="169" formatCode="#,##0&quot; €&quot;;[Red]\-#,##0&quot; €&quot;"/>
    <numFmt numFmtId="170" formatCode="#,##0.00\ &quot;€&quot;"/>
  </numFmts>
  <fonts count="68" x14ac:knownFonts="1">
    <font>
      <sz val="10"/>
      <name val="Arial"/>
      <charset val="1"/>
    </font>
    <font>
      <u/>
      <sz val="10"/>
      <color rgb="FF0000FF"/>
      <name val="Arial"/>
      <family val="2"/>
      <charset val="1"/>
    </font>
    <font>
      <u/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Neo Sans Pro"/>
      <family val="2"/>
      <charset val="1"/>
    </font>
    <font>
      <sz val="10"/>
      <name val="Neo Sans Pro"/>
      <family val="2"/>
      <charset val="1"/>
    </font>
    <font>
      <sz val="12"/>
      <name val="Neo Sans Pro"/>
      <family val="2"/>
      <charset val="1"/>
    </font>
    <font>
      <b/>
      <sz val="10"/>
      <name val="Neo Sans Pro"/>
      <family val="2"/>
      <charset val="1"/>
    </font>
    <font>
      <sz val="11"/>
      <name val="Neo Sans Pro"/>
      <family val="2"/>
      <charset val="1"/>
    </font>
    <font>
      <b/>
      <sz val="10"/>
      <name val="Neo Sans Pro"/>
      <family val="2"/>
    </font>
    <font>
      <sz val="8"/>
      <color rgb="FFFFFFFF"/>
      <name val="Neo Sans Pro"/>
      <family val="2"/>
      <charset val="1"/>
    </font>
    <font>
      <b/>
      <sz val="8"/>
      <name val="Neo Sans Pro"/>
      <family val="2"/>
      <charset val="1"/>
    </font>
    <font>
      <sz val="11"/>
      <color rgb="FFFFFFFF"/>
      <name val="Neo Sans Pro"/>
      <family val="2"/>
      <charset val="1"/>
    </font>
    <font>
      <b/>
      <sz val="12"/>
      <name val="Neo Sans Pro"/>
      <family val="2"/>
      <charset val="1"/>
    </font>
    <font>
      <b/>
      <sz val="8"/>
      <color rgb="FFFFFFFF"/>
      <name val="Neo Sans Pro"/>
      <family val="2"/>
      <charset val="1"/>
    </font>
    <font>
      <b/>
      <sz val="10"/>
      <color rgb="FFFFFFFF"/>
      <name val="Neo Sans Pro"/>
      <family val="2"/>
      <charset val="1"/>
    </font>
    <font>
      <b/>
      <sz val="20"/>
      <color rgb="FFFFFFFF"/>
      <name val="Neo Sans Pro"/>
      <family val="2"/>
      <charset val="1"/>
    </font>
    <font>
      <b/>
      <sz val="12"/>
      <color rgb="FFFFFFFF"/>
      <name val="Neo Sans Pro"/>
      <family val="2"/>
      <charset val="1"/>
    </font>
    <font>
      <b/>
      <sz val="9"/>
      <name val="Neo Sans Pro"/>
      <family val="2"/>
      <charset val="1"/>
    </font>
    <font>
      <b/>
      <sz val="12"/>
      <name val="Neo Sans Pro"/>
      <family val="2"/>
    </font>
    <font>
      <b/>
      <sz val="9"/>
      <color rgb="FFFFFFFF"/>
      <name val="Neo Sans Pro"/>
      <family val="2"/>
      <charset val="1"/>
    </font>
    <font>
      <sz val="9"/>
      <color rgb="FFFFFFFF"/>
      <name val="Neo Sans Pro"/>
      <family val="2"/>
      <charset val="1"/>
    </font>
    <font>
      <sz val="12"/>
      <color rgb="FFFFFFFF"/>
      <name val="Neo Sans Pro"/>
      <family val="2"/>
      <charset val="1"/>
    </font>
    <font>
      <b/>
      <sz val="14"/>
      <color rgb="FFFFFFFF"/>
      <name val="Neo Sans Pro"/>
      <family val="2"/>
      <charset val="1"/>
    </font>
    <font>
      <sz val="8"/>
      <color rgb="FF000000"/>
      <name val="Neo Sans Pro"/>
      <family val="2"/>
      <charset val="1"/>
    </font>
    <font>
      <b/>
      <sz val="11"/>
      <name val="Neo Sans Pro"/>
      <family val="2"/>
      <charset val="1"/>
    </font>
    <font>
      <sz val="12"/>
      <color rgb="FFFF0000"/>
      <name val="Neo Sans Pro"/>
      <family val="2"/>
      <charset val="1"/>
    </font>
    <font>
      <sz val="9"/>
      <color rgb="FF000000"/>
      <name val="Tahoma"/>
      <family val="2"/>
      <charset val="1"/>
    </font>
    <font>
      <sz val="8"/>
      <name val="Arial"/>
      <family val="2"/>
      <charset val="1"/>
    </font>
    <font>
      <b/>
      <sz val="16"/>
      <color rgb="FFFFFFFF"/>
      <name val="Arial"/>
      <family val="2"/>
      <charset val="1"/>
    </font>
    <font>
      <u/>
      <sz val="8"/>
      <name val="Neo Sans Pro"/>
      <family val="2"/>
      <charset val="1"/>
    </font>
    <font>
      <b/>
      <sz val="16"/>
      <name val="Arial"/>
      <family val="2"/>
      <charset val="1"/>
    </font>
    <font>
      <b/>
      <sz val="8"/>
      <name val="Neo Sans Pro"/>
      <family val="2"/>
    </font>
    <font>
      <sz val="8"/>
      <name val="Neo Sans Pro"/>
      <family val="2"/>
    </font>
    <font>
      <sz val="8"/>
      <color rgb="FF000000"/>
      <name val="Neo Sans Pro"/>
      <family val="2"/>
    </font>
    <font>
      <b/>
      <sz val="8"/>
      <color rgb="FF000000"/>
      <name val="Neo Sans Pro"/>
      <family val="2"/>
    </font>
    <font>
      <b/>
      <sz val="8"/>
      <name val="Arial"/>
      <family val="2"/>
      <charset val="1"/>
    </font>
    <font>
      <sz val="8"/>
      <color rgb="FFFFFFFF"/>
      <name val="Arial"/>
      <family val="2"/>
      <charset val="1"/>
    </font>
    <font>
      <sz val="8"/>
      <color rgb="FFFF0000"/>
      <name val="Neo Sans Pro"/>
      <family val="2"/>
      <charset val="1"/>
    </font>
    <font>
      <sz val="11"/>
      <name val="Arial"/>
      <family val="2"/>
      <charset val="1"/>
    </font>
    <font>
      <b/>
      <sz val="9"/>
      <name val="Arial"/>
      <family val="2"/>
      <charset val="1"/>
    </font>
    <font>
      <sz val="8"/>
      <color rgb="FF00B050"/>
      <name val="Neo Sans Pro"/>
      <family val="2"/>
      <charset val="1"/>
    </font>
    <font>
      <b/>
      <sz val="8"/>
      <color rgb="FFFFFFFF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Neo Sans Pro"/>
      <family val="2"/>
    </font>
    <font>
      <i/>
      <sz val="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0"/>
      <name val="Arial"/>
      <family val="2"/>
      <charset val="1"/>
    </font>
    <font>
      <sz val="8"/>
      <name val="Verdana"/>
      <family val="2"/>
      <charset val="1"/>
    </font>
    <font>
      <sz val="10"/>
      <name val="Verdana"/>
      <family val="2"/>
      <charset val="1"/>
    </font>
    <font>
      <sz val="10"/>
      <name val="Arial"/>
      <family val="2"/>
      <charset val="1"/>
    </font>
    <font>
      <b/>
      <sz val="8"/>
      <name val="Verdana"/>
      <family val="2"/>
      <charset val="1"/>
    </font>
    <font>
      <sz val="8"/>
      <name val="Neo Sans Pro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b/>
      <sz val="11"/>
      <color theme="0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FF0000"/>
      <name val="Neo Sans Pro"/>
      <family val="2"/>
    </font>
    <font>
      <sz val="8"/>
      <color theme="1"/>
      <name val="Neo Sans Pro"/>
      <family val="2"/>
    </font>
    <font>
      <i/>
      <sz val="9"/>
      <color rgb="FF002060"/>
      <name val="Calibri"/>
      <family val="2"/>
    </font>
  </fonts>
  <fills count="72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D9D9D9"/>
        <bgColor rgb="FFDDD9C3"/>
      </patternFill>
    </fill>
    <fill>
      <patternFill patternType="solid">
        <fgColor rgb="FF00B050"/>
        <bgColor rgb="FF31859C"/>
      </patternFill>
    </fill>
    <fill>
      <patternFill patternType="solid">
        <fgColor rgb="FF558ED5"/>
        <bgColor rgb="FF729FCF"/>
      </patternFill>
    </fill>
    <fill>
      <patternFill patternType="solid">
        <fgColor rgb="FFDCE6F2"/>
        <bgColor rgb="FFE6E0EC"/>
      </patternFill>
    </fill>
    <fill>
      <patternFill patternType="solid">
        <fgColor rgb="FFFFC0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00B0F0"/>
        <bgColor rgb="FF31859C"/>
      </patternFill>
    </fill>
    <fill>
      <patternFill patternType="solid">
        <fgColor rgb="FFFFFF00"/>
        <bgColor rgb="FFFFC000"/>
      </patternFill>
    </fill>
    <fill>
      <patternFill patternType="solid">
        <fgColor rgb="FF92D050"/>
        <bgColor rgb="FFC3D69B"/>
      </patternFill>
    </fill>
    <fill>
      <patternFill patternType="solid">
        <fgColor rgb="FFCCC1DA"/>
        <bgColor rgb="FFC0C0C0"/>
      </patternFill>
    </fill>
    <fill>
      <patternFill patternType="solid">
        <fgColor rgb="FF95B3D7"/>
        <bgColor rgb="FF8EB4E3"/>
      </patternFill>
    </fill>
    <fill>
      <patternFill patternType="solid">
        <fgColor rgb="FFDDD9C3"/>
        <bgColor rgb="FFD9D9D9"/>
      </patternFill>
    </fill>
    <fill>
      <patternFill patternType="solid">
        <fgColor rgb="FFE6E0EC"/>
        <bgColor rgb="FFDCE6F2"/>
      </patternFill>
    </fill>
    <fill>
      <patternFill patternType="solid">
        <fgColor rgb="FFB3A2C7"/>
        <bgColor rgb="FFA6A6A6"/>
      </patternFill>
    </fill>
    <fill>
      <patternFill patternType="solid">
        <fgColor rgb="FF31859C"/>
        <bgColor rgb="FF558ED5"/>
      </patternFill>
    </fill>
    <fill>
      <patternFill patternType="solid">
        <fgColor rgb="FFC0C0C0"/>
        <bgColor rgb="FFBFBFBF"/>
      </patternFill>
    </fill>
    <fill>
      <patternFill patternType="solid">
        <fgColor rgb="FFD7E4BD"/>
        <bgColor rgb="FFDDD9C3"/>
      </patternFill>
    </fill>
    <fill>
      <patternFill patternType="solid">
        <fgColor rgb="FFBFBFBF"/>
        <bgColor rgb="FFC0C0C0"/>
      </patternFill>
    </fill>
    <fill>
      <patternFill patternType="solid">
        <fgColor rgb="FFC3D69B"/>
        <bgColor rgb="FFD7E4BD"/>
      </patternFill>
    </fill>
    <fill>
      <patternFill patternType="solid">
        <fgColor rgb="FFF2F2F2"/>
        <bgColor rgb="FFF4F4F4"/>
      </patternFill>
    </fill>
    <fill>
      <patternFill patternType="solid">
        <fgColor rgb="FFE6B9B8"/>
        <bgColor rgb="FFFFC7CE"/>
      </patternFill>
    </fill>
    <fill>
      <patternFill patternType="solid">
        <fgColor rgb="FFF2DCDB"/>
        <bgColor rgb="FFE6E0EC"/>
      </patternFill>
    </fill>
    <fill>
      <patternFill patternType="solid">
        <fgColor rgb="FFFFFFFF"/>
        <bgColor rgb="FFF4F4F4"/>
      </patternFill>
    </fill>
    <fill>
      <patternFill patternType="solid">
        <fgColor rgb="FFC6D9F1"/>
        <bgColor rgb="FFB7DEE8"/>
      </patternFill>
    </fill>
    <fill>
      <patternFill patternType="solid">
        <fgColor rgb="FFEBF1DE"/>
        <bgColor rgb="FFEEECE1"/>
      </patternFill>
    </fill>
    <fill>
      <patternFill patternType="solid">
        <fgColor rgb="FFFDEADA"/>
        <bgColor rgb="FFEEECE1"/>
      </patternFill>
    </fill>
    <fill>
      <patternFill patternType="solid">
        <fgColor rgb="FFC4BD97"/>
        <bgColor rgb="FFBFBFBF"/>
      </patternFill>
    </fill>
    <fill>
      <patternFill patternType="solid">
        <fgColor rgb="FFEEECE1"/>
        <bgColor rgb="FFEBF1DE"/>
      </patternFill>
    </fill>
    <fill>
      <patternFill patternType="solid">
        <fgColor rgb="FF953735"/>
        <bgColor rgb="FF9C0006"/>
      </patternFill>
    </fill>
    <fill>
      <patternFill patternType="solid">
        <fgColor rgb="FFB9CDE5"/>
        <bgColor rgb="FFC6D9F1"/>
      </patternFill>
    </fill>
    <fill>
      <patternFill patternType="solid">
        <fgColor rgb="FFFCD5B5"/>
        <bgColor rgb="FFFFC7CE"/>
      </patternFill>
    </fill>
    <fill>
      <patternFill patternType="solid">
        <fgColor rgb="FF8EB4E3"/>
        <bgColor rgb="FF95B3D7"/>
      </patternFill>
    </fill>
    <fill>
      <patternFill patternType="solid">
        <fgColor rgb="FFF4F4F4"/>
        <bgColor rgb="FFF2F2F2"/>
      </patternFill>
    </fill>
    <fill>
      <patternFill patternType="solid">
        <fgColor theme="0"/>
        <bgColor rgb="FFEEECE1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rgb="FFC3D69B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rgb="FFC3D69B"/>
      </patternFill>
    </fill>
    <fill>
      <patternFill patternType="solid">
        <fgColor rgb="FFFFC000"/>
        <bgColor rgb="FFC3D69B"/>
      </patternFill>
    </fill>
    <fill>
      <patternFill patternType="solid">
        <fgColor theme="0"/>
        <bgColor rgb="FF31859C"/>
      </patternFill>
    </fill>
    <fill>
      <patternFill patternType="solid">
        <fgColor theme="0"/>
        <bgColor indexed="64"/>
      </patternFill>
    </fill>
    <fill>
      <patternFill patternType="solid">
        <fgColor rgb="FFF9EA77"/>
        <bgColor indexed="64"/>
      </patternFill>
    </fill>
    <fill>
      <patternFill patternType="solid">
        <fgColor theme="0" tint="-0.249977111117893"/>
        <bgColor rgb="FF31859C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rgb="FFE6B9B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4F4F4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F4F4F4"/>
      </patternFill>
    </fill>
    <fill>
      <patternFill patternType="solid">
        <fgColor rgb="FF00B0F0"/>
        <bgColor rgb="FFE6B9B8"/>
      </patternFill>
    </fill>
    <fill>
      <patternFill patternType="solid">
        <fgColor rgb="FFFFFF00"/>
        <bgColor rgb="FFF4F4F4"/>
      </patternFill>
    </fill>
    <fill>
      <patternFill patternType="solid">
        <fgColor rgb="FFFFFF00"/>
        <b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rgb="FF00B0F0"/>
        <bgColor rgb="FFC0C0C0"/>
      </patternFill>
    </fill>
    <fill>
      <patternFill patternType="solid">
        <fgColor rgb="FF00B0F0"/>
        <bgColor rgb="FF558ED5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8" tint="0.79998168889431442"/>
        <bgColor rgb="FFF4F4F4"/>
      </patternFill>
    </fill>
    <fill>
      <patternFill patternType="solid">
        <fgColor theme="8" tint="0.79998168889431442"/>
        <bgColor rgb="FFFFC7CE"/>
      </patternFill>
    </fill>
    <fill>
      <patternFill patternType="solid">
        <fgColor theme="8" tint="0.39997558519241921"/>
        <bgColor rgb="FFFFC7CE"/>
      </patternFill>
    </fill>
    <fill>
      <patternFill patternType="solid">
        <fgColor theme="0"/>
        <bgColor rgb="FFF4F4F4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00"/>
      </patternFill>
    </fill>
    <fill>
      <patternFill patternType="solid">
        <fgColor rgb="FFFFC000"/>
        <bgColor rgb="FFC0C0C0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5">
    <xf numFmtId="0" fontId="0" fillId="0" borderId="0">
      <alignment horizontal="right" textRotation="90"/>
    </xf>
    <xf numFmtId="0" fontId="1" fillId="0" borderId="0" applyBorder="0" applyProtection="0">
      <alignment horizontal="right" textRotation="90"/>
    </xf>
    <xf numFmtId="0" fontId="2" fillId="0" borderId="0" applyBorder="0" applyProtection="0">
      <alignment horizontal="right" textRotation="90"/>
    </xf>
    <xf numFmtId="0" fontId="3" fillId="0" borderId="0"/>
    <xf numFmtId="0" fontId="3" fillId="0" borderId="0"/>
  </cellStyleXfs>
  <cellXfs count="1160">
    <xf numFmtId="0" fontId="0" fillId="0" borderId="0" xfId="0">
      <alignment horizontal="right" textRotation="90"/>
    </xf>
    <xf numFmtId="0" fontId="4" fillId="0" borderId="0" xfId="0" applyFont="1" applyAlignment="1" applyProtection="1">
      <alignment vertical="center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 applyProtection="1">
      <alignment horizontal="center" vertical="center"/>
      <protection locked="0"/>
    </xf>
    <xf numFmtId="0" fontId="7" fillId="6" borderId="4" xfId="0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14" fontId="8" fillId="0" borderId="0" xfId="0" applyNumberFormat="1" applyFont="1" applyAlignment="1" applyProtection="1">
      <alignment horizontal="center" vertical="center"/>
      <protection locked="0"/>
    </xf>
    <xf numFmtId="0" fontId="5" fillId="7" borderId="5" xfId="0" applyFont="1" applyFill="1" applyBorder="1" applyAlignment="1" applyProtection="1">
      <alignment horizontal="center" vertical="center"/>
      <protection locked="0"/>
    </xf>
    <xf numFmtId="165" fontId="5" fillId="7" borderId="6" xfId="0" applyNumberFormat="1" applyFont="1" applyFill="1" applyBorder="1" applyAlignment="1" applyProtection="1">
      <alignment horizontal="center" vertical="center"/>
      <protection locked="0"/>
    </xf>
    <xf numFmtId="165" fontId="5" fillId="7" borderId="7" xfId="0" applyNumberFormat="1" applyFont="1" applyFill="1" applyBorder="1" applyAlignment="1" applyProtection="1">
      <alignment horizontal="center" vertical="center"/>
      <protection locked="0"/>
    </xf>
    <xf numFmtId="165" fontId="9" fillId="8" borderId="3" xfId="0" applyNumberFormat="1" applyFont="1" applyFill="1" applyBorder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vertical="center"/>
      <protection locked="0"/>
    </xf>
    <xf numFmtId="165" fontId="7" fillId="0" borderId="0" xfId="0" applyNumberFormat="1" applyFont="1" applyAlignment="1" applyProtection="1">
      <alignment horizontal="center" vertical="center"/>
      <protection locked="0"/>
    </xf>
    <xf numFmtId="14" fontId="7" fillId="0" borderId="8" xfId="0" applyNumberFormat="1" applyFont="1" applyBorder="1" applyAlignment="1" applyProtection="1">
      <alignment horizontal="center" vertical="center"/>
      <protection locked="0"/>
    </xf>
    <xf numFmtId="165" fontId="10" fillId="2" borderId="5" xfId="0" applyNumberFormat="1" applyFont="1" applyFill="1" applyBorder="1" applyAlignment="1" applyProtection="1">
      <alignment horizontal="center" vertical="center"/>
      <protection locked="0"/>
    </xf>
    <xf numFmtId="165" fontId="4" fillId="3" borderId="6" xfId="0" applyNumberFormat="1" applyFont="1" applyFill="1" applyBorder="1" applyAlignment="1" applyProtection="1">
      <alignment horizontal="center" vertical="center"/>
      <protection locked="0"/>
    </xf>
    <xf numFmtId="165" fontId="4" fillId="4" borderId="8" xfId="0" applyNumberFormat="1" applyFont="1" applyFill="1" applyBorder="1" applyAlignment="1" applyProtection="1">
      <alignment horizontal="center" vertical="center"/>
      <protection locked="0"/>
    </xf>
    <xf numFmtId="165" fontId="7" fillId="0" borderId="9" xfId="0" applyNumberFormat="1" applyFont="1" applyBorder="1" applyAlignment="1" applyProtection="1">
      <alignment horizontal="center" vertical="center"/>
      <protection locked="0"/>
    </xf>
    <xf numFmtId="165" fontId="4" fillId="5" borderId="10" xfId="0" applyNumberFormat="1" applyFont="1" applyFill="1" applyBorder="1" applyAlignment="1" applyProtection="1">
      <alignment horizontal="center" vertical="center"/>
      <protection locked="0"/>
    </xf>
    <xf numFmtId="165" fontId="4" fillId="6" borderId="11" xfId="0" applyNumberFormat="1" applyFont="1" applyFill="1" applyBorder="1" applyAlignment="1" applyProtection="1">
      <alignment horizontal="center" vertical="center"/>
      <protection locked="0"/>
    </xf>
    <xf numFmtId="165" fontId="4" fillId="6" borderId="12" xfId="0" applyNumberFormat="1" applyFont="1" applyFill="1" applyBorder="1" applyAlignment="1" applyProtection="1">
      <alignment horizontal="center" vertical="center"/>
      <protection locked="0"/>
    </xf>
    <xf numFmtId="165" fontId="7" fillId="0" borderId="8" xfId="0" applyNumberFormat="1" applyFont="1" applyBorder="1" applyAlignment="1" applyProtection="1">
      <alignment horizontal="center" vertical="center"/>
      <protection locked="0"/>
    </xf>
    <xf numFmtId="165" fontId="5" fillId="0" borderId="14" xfId="0" applyNumberFormat="1" applyFont="1" applyBorder="1" applyAlignment="1" applyProtection="1">
      <alignment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4" fontId="7" fillId="0" borderId="16" xfId="0" applyNumberFormat="1" applyFont="1" applyBorder="1" applyAlignment="1" applyProtection="1">
      <alignment horizontal="center" vertical="center"/>
      <protection locked="0"/>
    </xf>
    <xf numFmtId="165" fontId="10" fillId="2" borderId="17" xfId="0" applyNumberFormat="1" applyFont="1" applyFill="1" applyBorder="1" applyAlignment="1" applyProtection="1">
      <alignment horizontal="center" vertical="center"/>
      <protection locked="0"/>
    </xf>
    <xf numFmtId="165" fontId="4" fillId="3" borderId="18" xfId="0" applyNumberFormat="1" applyFont="1" applyFill="1" applyBorder="1" applyAlignment="1" applyProtection="1">
      <alignment horizontal="center" vertical="center"/>
      <protection locked="0"/>
    </xf>
    <xf numFmtId="165" fontId="4" fillId="4" borderId="19" xfId="0" applyNumberFormat="1" applyFont="1" applyFill="1" applyBorder="1" applyAlignment="1" applyProtection="1">
      <alignment horizontal="center" vertical="center"/>
      <protection locked="0"/>
    </xf>
    <xf numFmtId="165" fontId="7" fillId="0" borderId="20" xfId="0" applyNumberFormat="1" applyFont="1" applyBorder="1" applyAlignment="1" applyProtection="1">
      <alignment horizontal="center" vertical="center"/>
      <protection locked="0"/>
    </xf>
    <xf numFmtId="165" fontId="4" fillId="5" borderId="13" xfId="0" applyNumberFormat="1" applyFont="1" applyFill="1" applyBorder="1" applyAlignment="1" applyProtection="1">
      <alignment horizontal="center" vertical="center"/>
      <protection locked="0"/>
    </xf>
    <xf numFmtId="165" fontId="4" fillId="6" borderId="14" xfId="0" applyNumberFormat="1" applyFont="1" applyFill="1" applyBorder="1" applyAlignment="1" applyProtection="1">
      <alignment horizontal="center" vertical="center"/>
      <protection locked="0"/>
    </xf>
    <xf numFmtId="165" fontId="4" fillId="6" borderId="21" xfId="0" applyNumberFormat="1" applyFont="1" applyFill="1" applyBorder="1" applyAlignment="1" applyProtection="1">
      <alignment horizontal="center" vertical="center"/>
      <protection locked="0"/>
    </xf>
    <xf numFmtId="165" fontId="7" fillId="0" borderId="19" xfId="0" applyNumberFormat="1" applyFont="1" applyBorder="1" applyAlignment="1" applyProtection="1">
      <alignment horizontal="center" vertical="center"/>
      <protection locked="0"/>
    </xf>
    <xf numFmtId="165" fontId="5" fillId="0" borderId="13" xfId="0" applyNumberFormat="1" applyFont="1" applyBorder="1" applyAlignment="1" applyProtection="1">
      <alignment horizontal="center" vertical="center"/>
      <protection locked="0"/>
    </xf>
    <xf numFmtId="165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165" fontId="7" fillId="11" borderId="22" xfId="0" applyNumberFormat="1" applyFont="1" applyFill="1" applyBorder="1" applyAlignment="1" applyProtection="1">
      <alignment horizontal="center" vertical="center"/>
      <protection locked="0"/>
    </xf>
    <xf numFmtId="165" fontId="7" fillId="11" borderId="23" xfId="0" applyNumberFormat="1" applyFont="1" applyFill="1" applyBorder="1" applyAlignment="1" applyProtection="1">
      <alignment horizontal="center" vertical="center"/>
      <protection locked="0"/>
    </xf>
    <xf numFmtId="165" fontId="7" fillId="11" borderId="24" xfId="0" applyNumberFormat="1" applyFont="1" applyFill="1" applyBorder="1" applyAlignment="1" applyProtection="1">
      <alignment horizontal="center" vertical="center"/>
      <protection locked="0"/>
    </xf>
    <xf numFmtId="165" fontId="7" fillId="12" borderId="25" xfId="0" applyNumberFormat="1" applyFont="1" applyFill="1" applyBorder="1" applyAlignment="1" applyProtection="1">
      <alignment horizontal="center" vertical="center"/>
      <protection locked="0"/>
    </xf>
    <xf numFmtId="165" fontId="7" fillId="11" borderId="17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20" xfId="0" applyNumberFormat="1" applyFont="1" applyFill="1" applyBorder="1" applyAlignment="1" applyProtection="1">
      <alignment horizontal="center" vertical="center"/>
      <protection locked="0"/>
    </xf>
    <xf numFmtId="165" fontId="7" fillId="13" borderId="25" xfId="0" applyNumberFormat="1" applyFont="1" applyFill="1" applyBorder="1" applyAlignment="1" applyProtection="1">
      <alignment horizontal="center" vertical="center"/>
      <protection locked="0"/>
    </xf>
    <xf numFmtId="165" fontId="7" fillId="0" borderId="25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65" fontId="7" fillId="14" borderId="25" xfId="0" applyNumberFormat="1" applyFont="1" applyFill="1" applyBorder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center" vertical="center"/>
      <protection locked="0"/>
    </xf>
    <xf numFmtId="165" fontId="5" fillId="0" borderId="17" xfId="0" applyNumberFormat="1" applyFont="1" applyBorder="1" applyAlignment="1" applyProtection="1">
      <alignment horizontal="center" vertical="center"/>
      <protection locked="0"/>
    </xf>
    <xf numFmtId="165" fontId="5" fillId="0" borderId="18" xfId="0" applyNumberFormat="1" applyFont="1" applyBorder="1" applyAlignment="1" applyProtection="1">
      <alignment vertical="center"/>
      <protection locked="0"/>
    </xf>
    <xf numFmtId="165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left" vertical="center"/>
      <protection locked="0"/>
    </xf>
    <xf numFmtId="0" fontId="10" fillId="2" borderId="14" xfId="0" applyFont="1" applyFill="1" applyBorder="1" applyAlignment="1" applyProtection="1">
      <alignment horizontal="left" vertical="center"/>
      <protection locked="0"/>
    </xf>
    <xf numFmtId="164" fontId="11" fillId="0" borderId="14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horizontal="righ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165" fontId="4" fillId="3" borderId="14" xfId="0" applyNumberFormat="1" applyFont="1" applyFill="1" applyBorder="1" applyAlignment="1" applyProtection="1">
      <alignment horizontal="center" vertical="center"/>
      <protection locked="0"/>
    </xf>
    <xf numFmtId="164" fontId="4" fillId="4" borderId="14" xfId="0" applyNumberFormat="1" applyFont="1" applyFill="1" applyBorder="1" applyAlignment="1" applyProtection="1">
      <alignment horizontal="left" vertical="center"/>
      <protection locked="0"/>
    </xf>
    <xf numFmtId="164" fontId="4" fillId="6" borderId="14" xfId="0" applyNumberFormat="1" applyFont="1" applyFill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164" fontId="11" fillId="0" borderId="0" xfId="0" applyNumberFormat="1" applyFont="1" applyAlignment="1" applyProtection="1">
      <alignment horizontal="center" vertical="center"/>
      <protection locked="0"/>
    </xf>
    <xf numFmtId="165" fontId="12" fillId="2" borderId="14" xfId="0" applyNumberFormat="1" applyFont="1" applyFill="1" applyBorder="1" applyAlignment="1" applyProtection="1">
      <alignment horizontal="center" vertical="center"/>
      <protection locked="0"/>
    </xf>
    <xf numFmtId="165" fontId="12" fillId="2" borderId="29" xfId="0" applyNumberFormat="1" applyFont="1" applyFill="1" applyBorder="1" applyAlignment="1" applyProtection="1">
      <alignment horizontal="center" vertical="center"/>
      <protection locked="0"/>
    </xf>
    <xf numFmtId="165" fontId="12" fillId="2" borderId="30" xfId="0" applyNumberFormat="1" applyFont="1" applyFill="1" applyBorder="1" applyAlignment="1" applyProtection="1">
      <alignment horizontal="center" vertical="center"/>
      <protection locked="0"/>
    </xf>
    <xf numFmtId="165" fontId="6" fillId="15" borderId="5" xfId="0" applyNumberFormat="1" applyFont="1" applyFill="1" applyBorder="1" applyAlignment="1" applyProtection="1">
      <alignment vertical="center"/>
      <protection locked="0"/>
    </xf>
    <xf numFmtId="165" fontId="8" fillId="3" borderId="14" xfId="0" applyNumberFormat="1" applyFont="1" applyFill="1" applyBorder="1" applyAlignment="1" applyProtection="1">
      <alignment horizontal="center" vertical="center"/>
      <protection locked="0"/>
    </xf>
    <xf numFmtId="165" fontId="6" fillId="15" borderId="13" xfId="0" applyNumberFormat="1" applyFont="1" applyFill="1" applyBorder="1" applyAlignment="1" applyProtection="1">
      <alignment vertical="center"/>
      <protection locked="0"/>
    </xf>
    <xf numFmtId="165" fontId="12" fillId="4" borderId="14" xfId="0" applyNumberFormat="1" applyFont="1" applyFill="1" applyBorder="1" applyAlignment="1" applyProtection="1">
      <alignment horizontal="center" vertical="center"/>
      <protection locked="0"/>
    </xf>
    <xf numFmtId="165" fontId="6" fillId="15" borderId="17" xfId="0" applyNumberFormat="1" applyFont="1" applyFill="1" applyBorder="1" applyAlignment="1" applyProtection="1">
      <alignment vertical="center"/>
      <protection locked="0"/>
    </xf>
    <xf numFmtId="165" fontId="8" fillId="6" borderId="14" xfId="0" applyNumberFormat="1" applyFont="1" applyFill="1" applyBorder="1" applyAlignment="1" applyProtection="1">
      <alignment horizontal="center" vertical="center"/>
      <protection locked="0"/>
    </xf>
    <xf numFmtId="165" fontId="6" fillId="6" borderId="5" xfId="0" applyNumberFormat="1" applyFont="1" applyFill="1" applyBorder="1" applyAlignment="1" applyProtection="1">
      <alignment vertical="center"/>
      <protection locked="0"/>
    </xf>
    <xf numFmtId="165" fontId="6" fillId="6" borderId="17" xfId="0" applyNumberFormat="1" applyFont="1" applyFill="1" applyBorder="1" applyAlignment="1" applyProtection="1">
      <alignment vertical="center"/>
      <protection locked="0"/>
    </xf>
    <xf numFmtId="165" fontId="4" fillId="0" borderId="14" xfId="0" applyNumberFormat="1" applyFont="1" applyBorder="1" applyAlignment="1" applyProtection="1">
      <alignment horizontal="center" vertical="center"/>
      <protection locked="0"/>
    </xf>
    <xf numFmtId="164" fontId="4" fillId="0" borderId="14" xfId="0" applyNumberFormat="1" applyFont="1" applyBorder="1" applyAlignment="1" applyProtection="1">
      <alignment horizontal="center" vertical="center"/>
      <protection locked="0"/>
    </xf>
    <xf numFmtId="0" fontId="18" fillId="18" borderId="30" xfId="0" applyFont="1" applyFill="1" applyBorder="1" applyAlignment="1" applyProtection="1">
      <alignment horizontal="center" vertical="center"/>
      <protection locked="0"/>
    </xf>
    <xf numFmtId="0" fontId="18" fillId="18" borderId="14" xfId="0" applyFont="1" applyFill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right" vertical="center"/>
      <protection locked="0"/>
    </xf>
    <xf numFmtId="0" fontId="15" fillId="4" borderId="27" xfId="0" applyFont="1" applyFill="1" applyBorder="1" applyAlignment="1" applyProtection="1">
      <alignment vertical="center"/>
      <protection locked="0"/>
    </xf>
    <xf numFmtId="0" fontId="17" fillId="4" borderId="32" xfId="0" applyFont="1" applyFill="1" applyBorder="1" applyAlignment="1" applyProtection="1">
      <alignment horizontal="center" vertical="center"/>
      <protection locked="0"/>
    </xf>
    <xf numFmtId="0" fontId="4" fillId="19" borderId="6" xfId="0" applyFont="1" applyFill="1" applyBorder="1" applyAlignment="1" applyProtection="1">
      <alignment horizontal="center" vertical="center"/>
      <protection locked="0"/>
    </xf>
    <xf numFmtId="0" fontId="4" fillId="19" borderId="5" xfId="0" applyFont="1" applyFill="1" applyBorder="1" applyAlignment="1" applyProtection="1">
      <alignment horizontal="left" vertical="center"/>
      <protection locked="0"/>
    </xf>
    <xf numFmtId="0" fontId="4" fillId="19" borderId="6" xfId="0" applyFont="1" applyFill="1" applyBorder="1" applyAlignment="1" applyProtection="1">
      <alignment horizontal="left" vertical="center"/>
      <protection locked="0"/>
    </xf>
    <xf numFmtId="49" fontId="4" fillId="19" borderId="6" xfId="0" applyNumberFormat="1" applyFont="1" applyFill="1" applyBorder="1" applyAlignment="1" applyProtection="1">
      <alignment horizontal="left" vertical="center"/>
      <protection locked="0"/>
    </xf>
    <xf numFmtId="164" fontId="4" fillId="19" borderId="9" xfId="0" applyNumberFormat="1" applyFont="1" applyFill="1" applyBorder="1" applyAlignment="1" applyProtection="1">
      <alignment horizontal="center" vertical="center"/>
      <protection locked="0"/>
    </xf>
    <xf numFmtId="165" fontId="6" fillId="21" borderId="8" xfId="0" applyNumberFormat="1" applyFont="1" applyFill="1" applyBorder="1" applyAlignment="1" applyProtection="1">
      <alignment horizontal="right" vertical="center"/>
      <protection locked="0"/>
    </xf>
    <xf numFmtId="0" fontId="4" fillId="19" borderId="14" xfId="0" applyFont="1" applyFill="1" applyBorder="1" applyAlignment="1" applyProtection="1">
      <alignment horizontal="center" vertical="center"/>
      <protection locked="0"/>
    </xf>
    <xf numFmtId="0" fontId="4" fillId="19" borderId="13" xfId="0" applyFont="1" applyFill="1" applyBorder="1" applyAlignment="1" applyProtection="1">
      <alignment horizontal="left" vertical="center"/>
      <protection locked="0"/>
    </xf>
    <xf numFmtId="0" fontId="4" fillId="19" borderId="14" xfId="0" applyFont="1" applyFill="1" applyBorder="1" applyAlignment="1" applyProtection="1">
      <alignment horizontal="left" vertical="center"/>
      <protection locked="0"/>
    </xf>
    <xf numFmtId="49" fontId="4" fillId="19" borderId="14" xfId="0" applyNumberFormat="1" applyFont="1" applyFill="1" applyBorder="1" applyAlignment="1" applyProtection="1">
      <alignment horizontal="left" vertical="center"/>
      <protection locked="0"/>
    </xf>
    <xf numFmtId="164" fontId="4" fillId="19" borderId="21" xfId="0" applyNumberFormat="1" applyFont="1" applyFill="1" applyBorder="1" applyAlignment="1" applyProtection="1">
      <alignment horizontal="center" vertical="center"/>
      <protection locked="0"/>
    </xf>
    <xf numFmtId="165" fontId="4" fillId="0" borderId="13" xfId="0" applyNumberFormat="1" applyFont="1" applyBorder="1" applyAlignment="1" applyProtection="1">
      <alignment horizontal="center" vertical="center"/>
      <protection locked="0"/>
    </xf>
    <xf numFmtId="165" fontId="4" fillId="0" borderId="21" xfId="0" applyNumberFormat="1" applyFont="1" applyBorder="1" applyAlignment="1" applyProtection="1">
      <alignment horizontal="center" vertical="center"/>
      <protection locked="0"/>
    </xf>
    <xf numFmtId="165" fontId="6" fillId="21" borderId="16" xfId="0" applyNumberFormat="1" applyFont="1" applyFill="1" applyBorder="1" applyAlignment="1" applyProtection="1">
      <alignment horizontal="right" vertical="center"/>
      <protection locked="0"/>
    </xf>
    <xf numFmtId="0" fontId="4" fillId="19" borderId="13" xfId="0" applyFont="1" applyFill="1" applyBorder="1" applyAlignment="1" applyProtection="1">
      <alignment vertical="center"/>
      <protection locked="0"/>
    </xf>
    <xf numFmtId="0" fontId="4" fillId="19" borderId="14" xfId="0" applyFont="1" applyFill="1" applyBorder="1" applyAlignment="1" applyProtection="1">
      <alignment vertical="center"/>
      <protection locked="0"/>
    </xf>
    <xf numFmtId="49" fontId="4" fillId="19" borderId="14" xfId="0" applyNumberFormat="1" applyFont="1" applyFill="1" applyBorder="1" applyAlignment="1" applyProtection="1">
      <alignment vertical="center"/>
      <protection locked="0"/>
    </xf>
    <xf numFmtId="165" fontId="4" fillId="20" borderId="21" xfId="0" applyNumberFormat="1" applyFont="1" applyFill="1" applyBorder="1" applyAlignment="1" applyProtection="1">
      <alignment horizontal="center" vertical="center"/>
      <protection locked="0"/>
    </xf>
    <xf numFmtId="165" fontId="4" fillId="20" borderId="14" xfId="0" applyNumberFormat="1" applyFont="1" applyFill="1" applyBorder="1" applyAlignment="1" applyProtection="1">
      <alignment horizontal="center" vertical="center"/>
      <protection locked="0"/>
    </xf>
    <xf numFmtId="0" fontId="4" fillId="19" borderId="18" xfId="0" applyFont="1" applyFill="1" applyBorder="1" applyAlignment="1" applyProtection="1">
      <alignment horizontal="center" vertical="center"/>
      <protection locked="0"/>
    </xf>
    <xf numFmtId="0" fontId="4" fillId="19" borderId="17" xfId="0" applyFont="1" applyFill="1" applyBorder="1" applyAlignment="1" applyProtection="1">
      <alignment vertical="center"/>
      <protection locked="0"/>
    </xf>
    <xf numFmtId="0" fontId="4" fillId="19" borderId="18" xfId="0" applyFont="1" applyFill="1" applyBorder="1" applyAlignment="1" applyProtection="1">
      <alignment vertical="center"/>
      <protection locked="0"/>
    </xf>
    <xf numFmtId="49" fontId="4" fillId="19" borderId="18" xfId="0" applyNumberFormat="1" applyFont="1" applyFill="1" applyBorder="1" applyAlignment="1" applyProtection="1">
      <alignment vertical="center"/>
      <protection locked="0"/>
    </xf>
    <xf numFmtId="164" fontId="4" fillId="19" borderId="20" xfId="0" applyNumberFormat="1" applyFont="1" applyFill="1" applyBorder="1" applyAlignment="1" applyProtection="1">
      <alignment horizontal="center" vertical="center"/>
      <protection locked="0"/>
    </xf>
    <xf numFmtId="165" fontId="6" fillId="21" borderId="19" xfId="0" applyNumberFormat="1" applyFont="1" applyFill="1" applyBorder="1" applyAlignment="1" applyProtection="1">
      <alignment horizontal="right" vertical="center"/>
      <protection locked="0"/>
    </xf>
    <xf numFmtId="165" fontId="19" fillId="21" borderId="3" xfId="0" applyNumberFormat="1" applyFont="1" applyFill="1" applyBorder="1" applyAlignment="1" applyProtection="1">
      <alignment horizontal="righ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vertical="center"/>
      <protection locked="0"/>
    </xf>
    <xf numFmtId="0" fontId="4" fillId="19" borderId="5" xfId="0" applyFont="1" applyFill="1" applyBorder="1" applyAlignment="1" applyProtection="1">
      <alignment vertical="center"/>
      <protection locked="0"/>
    </xf>
    <xf numFmtId="0" fontId="4" fillId="19" borderId="6" xfId="0" applyFont="1" applyFill="1" applyBorder="1" applyAlignment="1" applyProtection="1">
      <alignment vertical="center"/>
      <protection locked="0"/>
    </xf>
    <xf numFmtId="49" fontId="4" fillId="19" borderId="6" xfId="0" applyNumberFormat="1" applyFont="1" applyFill="1" applyBorder="1" applyAlignment="1" applyProtection="1">
      <alignment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165" fontId="21" fillId="0" borderId="0" xfId="0" applyNumberFormat="1" applyFont="1" applyAlignment="1" applyProtection="1">
      <alignment horizontal="center" vertical="center"/>
      <protection locked="0"/>
    </xf>
    <xf numFmtId="165" fontId="22" fillId="0" borderId="0" xfId="0" applyNumberFormat="1" applyFont="1" applyAlignment="1" applyProtection="1">
      <alignment horizontal="right" vertical="center"/>
      <protection locked="0"/>
    </xf>
    <xf numFmtId="0" fontId="4" fillId="19" borderId="27" xfId="0" applyFont="1" applyFill="1" applyBorder="1" applyAlignment="1" applyProtection="1">
      <alignment vertical="center"/>
      <protection locked="0"/>
    </xf>
    <xf numFmtId="49" fontId="4" fillId="19" borderId="27" xfId="0" applyNumberFormat="1" applyFont="1" applyFill="1" applyBorder="1" applyAlignment="1" applyProtection="1">
      <alignment vertical="center"/>
      <protection locked="0"/>
    </xf>
    <xf numFmtId="164" fontId="4" fillId="19" borderId="33" xfId="0" applyNumberFormat="1" applyFont="1" applyFill="1" applyBorder="1" applyAlignment="1" applyProtection="1">
      <alignment horizontal="center" vertical="center"/>
      <protection locked="0"/>
    </xf>
    <xf numFmtId="0" fontId="15" fillId="0" borderId="27" xfId="0" applyFont="1" applyBorder="1" applyAlignment="1" applyProtection="1">
      <alignment vertical="center"/>
      <protection locked="0"/>
    </xf>
    <xf numFmtId="165" fontId="23" fillId="4" borderId="14" xfId="0" applyNumberFormat="1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0" fillId="2" borderId="34" xfId="0" applyFont="1" applyFill="1" applyBorder="1" applyAlignment="1" applyProtection="1">
      <alignment horizontal="center" vertical="center"/>
      <protection locked="0"/>
    </xf>
    <xf numFmtId="0" fontId="4" fillId="22" borderId="5" xfId="0" applyFont="1" applyFill="1" applyBorder="1" applyAlignment="1" applyProtection="1">
      <alignment horizontal="left" vertical="center"/>
      <protection locked="0"/>
    </xf>
    <xf numFmtId="0" fontId="4" fillId="23" borderId="6" xfId="0" applyFont="1" applyFill="1" applyBorder="1" applyAlignment="1" applyProtection="1">
      <alignment horizontal="center" vertical="center"/>
      <protection locked="0"/>
    </xf>
    <xf numFmtId="49" fontId="4" fillId="7" borderId="6" xfId="0" applyNumberFormat="1" applyFont="1" applyFill="1" applyBorder="1" applyAlignment="1" applyProtection="1">
      <alignment horizontal="center" vertical="center"/>
      <protection locked="0"/>
    </xf>
    <xf numFmtId="49" fontId="4" fillId="22" borderId="9" xfId="0" applyNumberFormat="1" applyFont="1" applyFill="1" applyBorder="1" applyAlignment="1" applyProtection="1">
      <alignment horizontal="center" vertical="center"/>
      <protection locked="0"/>
    </xf>
    <xf numFmtId="165" fontId="6" fillId="24" borderId="8" xfId="0" applyNumberFormat="1" applyFont="1" applyFill="1" applyBorder="1" applyAlignment="1" applyProtection="1">
      <alignment horizontal="right" vertical="center"/>
      <protection locked="0"/>
    </xf>
    <xf numFmtId="0" fontId="10" fillId="2" borderId="35" xfId="0" applyFont="1" applyFill="1" applyBorder="1" applyAlignment="1" applyProtection="1">
      <alignment horizontal="center" vertical="center"/>
      <protection locked="0"/>
    </xf>
    <xf numFmtId="0" fontId="4" fillId="22" borderId="13" xfId="0" applyFont="1" applyFill="1" applyBorder="1" applyAlignment="1" applyProtection="1">
      <alignment horizontal="left" vertical="center"/>
      <protection locked="0"/>
    </xf>
    <xf numFmtId="0" fontId="4" fillId="23" borderId="14" xfId="0" applyFont="1" applyFill="1" applyBorder="1" applyAlignment="1" applyProtection="1">
      <alignment horizontal="center" vertical="center"/>
      <protection locked="0"/>
    </xf>
    <xf numFmtId="49" fontId="4" fillId="7" borderId="14" xfId="0" applyNumberFormat="1" applyFont="1" applyFill="1" applyBorder="1" applyAlignment="1" applyProtection="1">
      <alignment horizontal="center" vertical="center"/>
      <protection locked="0"/>
    </xf>
    <xf numFmtId="49" fontId="4" fillId="22" borderId="21" xfId="0" applyNumberFormat="1" applyFont="1" applyFill="1" applyBorder="1" applyAlignment="1" applyProtection="1">
      <alignment horizontal="center" vertical="center"/>
      <protection locked="0"/>
    </xf>
    <xf numFmtId="165" fontId="24" fillId="20" borderId="29" xfId="0" applyNumberFormat="1" applyFont="1" applyFill="1" applyBorder="1" applyAlignment="1" applyProtection="1">
      <alignment horizontal="center" vertical="center"/>
      <protection locked="0"/>
    </xf>
    <xf numFmtId="165" fontId="6" fillId="24" borderId="16" xfId="0" applyNumberFormat="1" applyFont="1" applyFill="1" applyBorder="1" applyAlignment="1" applyProtection="1">
      <alignment horizontal="right" vertical="center"/>
      <protection locked="0"/>
    </xf>
    <xf numFmtId="0" fontId="10" fillId="2" borderId="36" xfId="0" applyFont="1" applyFill="1" applyBorder="1" applyAlignment="1" applyProtection="1">
      <alignment horizontal="center" vertical="center"/>
      <protection locked="0"/>
    </xf>
    <xf numFmtId="49" fontId="4" fillId="11" borderId="14" xfId="0" applyNumberFormat="1" applyFont="1" applyFill="1" applyBorder="1" applyAlignment="1" applyProtection="1">
      <alignment horizontal="center" vertical="center"/>
      <protection locked="0"/>
    </xf>
    <xf numFmtId="165" fontId="24" fillId="25" borderId="13" xfId="0" applyNumberFormat="1" applyFont="1" applyFill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vertical="center"/>
      <protection locked="0"/>
    </xf>
    <xf numFmtId="165" fontId="24" fillId="25" borderId="14" xfId="0" applyNumberFormat="1" applyFont="1" applyFill="1" applyBorder="1" applyAlignment="1" applyProtection="1">
      <alignment horizontal="center" vertical="center"/>
      <protection locked="0"/>
    </xf>
    <xf numFmtId="165" fontId="24" fillId="0" borderId="14" xfId="0" applyNumberFormat="1" applyFont="1" applyBorder="1" applyAlignment="1" applyProtection="1">
      <alignment horizontal="center" vertical="center"/>
      <protection locked="0"/>
    </xf>
    <xf numFmtId="165" fontId="24" fillId="25" borderId="29" xfId="0" applyNumberFormat="1" applyFont="1" applyFill="1" applyBorder="1" applyAlignment="1" applyProtection="1">
      <alignment horizontal="center" vertical="center"/>
      <protection locked="0"/>
    </xf>
    <xf numFmtId="49" fontId="4" fillId="23" borderId="14" xfId="0" applyNumberFormat="1" applyFont="1" applyFill="1" applyBorder="1" applyAlignment="1" applyProtection="1">
      <alignment horizontal="center" vertical="center"/>
      <protection locked="0"/>
    </xf>
    <xf numFmtId="0" fontId="4" fillId="22" borderId="26" xfId="0" applyFont="1" applyFill="1" applyBorder="1" applyAlignment="1" applyProtection="1">
      <alignment horizontal="left" vertical="center"/>
      <protection locked="0"/>
    </xf>
    <xf numFmtId="0" fontId="4" fillId="23" borderId="27" xfId="0" applyFont="1" applyFill="1" applyBorder="1" applyAlignment="1" applyProtection="1">
      <alignment horizontal="center" vertical="center"/>
      <protection locked="0"/>
    </xf>
    <xf numFmtId="49" fontId="4" fillId="23" borderId="27" xfId="0" applyNumberFormat="1" applyFont="1" applyFill="1" applyBorder="1" applyAlignment="1" applyProtection="1">
      <alignment horizontal="center" vertical="center"/>
      <protection locked="0"/>
    </xf>
    <xf numFmtId="49" fontId="4" fillId="22" borderId="33" xfId="0" applyNumberFormat="1" applyFont="1" applyFill="1" applyBorder="1" applyAlignment="1" applyProtection="1">
      <alignment horizontal="center" vertical="center"/>
      <protection locked="0"/>
    </xf>
    <xf numFmtId="165" fontId="24" fillId="25" borderId="26" xfId="0" applyNumberFormat="1" applyFont="1" applyFill="1" applyBorder="1" applyAlignment="1" applyProtection="1">
      <alignment horizontal="center" vertical="center"/>
      <protection locked="0"/>
    </xf>
    <xf numFmtId="165" fontId="24" fillId="25" borderId="27" xfId="0" applyNumberFormat="1" applyFont="1" applyFill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vertical="center"/>
      <protection locked="0"/>
    </xf>
    <xf numFmtId="165" fontId="24" fillId="25" borderId="37" xfId="0" applyNumberFormat="1" applyFont="1" applyFill="1" applyBorder="1" applyAlignment="1" applyProtection="1">
      <alignment horizontal="center" vertical="center"/>
      <protection locked="0"/>
    </xf>
    <xf numFmtId="165" fontId="6" fillId="24" borderId="19" xfId="0" applyNumberFormat="1" applyFont="1" applyFill="1" applyBorder="1" applyAlignment="1" applyProtection="1">
      <alignment horizontal="right" vertical="center"/>
      <protection locked="0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4" fillId="26" borderId="5" xfId="0" applyFont="1" applyFill="1" applyBorder="1" applyAlignment="1" applyProtection="1">
      <alignment horizontal="left" vertical="center"/>
      <protection locked="0"/>
    </xf>
    <xf numFmtId="49" fontId="4" fillId="23" borderId="6" xfId="0" applyNumberFormat="1" applyFont="1" applyFill="1" applyBorder="1" applyAlignment="1" applyProtection="1">
      <alignment horizontal="center" vertical="center"/>
      <protection locked="0"/>
    </xf>
    <xf numFmtId="165" fontId="24" fillId="25" borderId="38" xfId="0" applyNumberFormat="1" applyFont="1" applyFill="1" applyBorder="1" applyAlignment="1" applyProtection="1">
      <alignment horizontal="center" vertical="center"/>
      <protection locked="0"/>
    </xf>
    <xf numFmtId="165" fontId="24" fillId="25" borderId="6" xfId="0" applyNumberFormat="1" applyFont="1" applyFill="1" applyBorder="1" applyAlignment="1" applyProtection="1">
      <alignment horizontal="center" vertical="center"/>
      <protection locked="0"/>
    </xf>
    <xf numFmtId="165" fontId="24" fillId="0" borderId="6" xfId="0" applyNumberFormat="1" applyFont="1" applyBorder="1" applyAlignment="1" applyProtection="1">
      <alignment horizontal="center" vertical="center"/>
      <protection locked="0"/>
    </xf>
    <xf numFmtId="165" fontId="24" fillId="20" borderId="9" xfId="0" applyNumberFormat="1" applyFont="1" applyFill="1" applyBorder="1" applyAlignment="1" applyProtection="1">
      <alignment horizontal="center" vertical="center"/>
      <protection locked="0"/>
    </xf>
    <xf numFmtId="165" fontId="6" fillId="24" borderId="39" xfId="0" applyNumberFormat="1" applyFont="1" applyFill="1" applyBorder="1" applyAlignment="1" applyProtection="1">
      <alignment horizontal="right" vertical="center"/>
      <protection locked="0"/>
    </xf>
    <xf numFmtId="0" fontId="10" fillId="2" borderId="16" xfId="0" applyFont="1" applyFill="1" applyBorder="1" applyAlignment="1" applyProtection="1">
      <alignment horizontal="center" vertical="center"/>
      <protection locked="0"/>
    </xf>
    <xf numFmtId="0" fontId="4" fillId="26" borderId="13" xfId="0" applyFont="1" applyFill="1" applyBorder="1" applyAlignment="1" applyProtection="1">
      <alignment horizontal="left" vertical="center"/>
      <protection locked="0"/>
    </xf>
    <xf numFmtId="165" fontId="24" fillId="20" borderId="21" xfId="0" applyNumberFormat="1" applyFont="1" applyFill="1" applyBorder="1" applyAlignment="1" applyProtection="1">
      <alignment horizontal="center" vertical="center"/>
      <protection locked="0"/>
    </xf>
    <xf numFmtId="0" fontId="4" fillId="26" borderId="26" xfId="0" applyFont="1" applyFill="1" applyBorder="1" applyAlignment="1" applyProtection="1">
      <alignment horizontal="left" vertical="center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0" fontId="4" fillId="23" borderId="2" xfId="0" applyFont="1" applyFill="1" applyBorder="1" applyAlignment="1" applyProtection="1">
      <alignment horizontal="center" vertical="center"/>
      <protection locked="0"/>
    </xf>
    <xf numFmtId="49" fontId="4" fillId="7" borderId="2" xfId="0" applyNumberFormat="1" applyFont="1" applyFill="1" applyBorder="1" applyAlignment="1" applyProtection="1">
      <alignment horizontal="center" vertical="center"/>
      <protection locked="0"/>
    </xf>
    <xf numFmtId="49" fontId="4" fillId="22" borderId="4" xfId="0" applyNumberFormat="1" applyFont="1" applyFill="1" applyBorder="1" applyAlignment="1" applyProtection="1">
      <alignment horizontal="center" vertical="center"/>
      <protection locked="0"/>
    </xf>
    <xf numFmtId="165" fontId="6" fillId="24" borderId="3" xfId="0" applyNumberFormat="1" applyFont="1" applyFill="1" applyBorder="1" applyAlignment="1" applyProtection="1">
      <alignment horizontal="right" vertical="center"/>
      <protection locked="0"/>
    </xf>
    <xf numFmtId="165" fontId="24" fillId="25" borderId="30" xfId="0" applyNumberFormat="1" applyFont="1" applyFill="1" applyBorder="1" applyAlignment="1" applyProtection="1">
      <alignment horizontal="center" vertical="center"/>
      <protection locked="0"/>
    </xf>
    <xf numFmtId="165" fontId="4" fillId="25" borderId="14" xfId="0" applyNumberFormat="1" applyFont="1" applyFill="1" applyBorder="1" applyAlignment="1" applyProtection="1">
      <alignment horizontal="center" vertical="center"/>
      <protection locked="0"/>
    </xf>
    <xf numFmtId="165" fontId="4" fillId="25" borderId="21" xfId="0" applyNumberFormat="1" applyFont="1" applyFill="1" applyBorder="1" applyAlignment="1" applyProtection="1">
      <alignment horizontal="center" vertical="center"/>
      <protection locked="0"/>
    </xf>
    <xf numFmtId="0" fontId="10" fillId="2" borderId="19" xfId="0" applyFont="1" applyFill="1" applyBorder="1" applyAlignment="1" applyProtection="1">
      <alignment horizontal="center" vertical="center"/>
      <protection locked="0"/>
    </xf>
    <xf numFmtId="0" fontId="4" fillId="23" borderId="18" xfId="0" applyFont="1" applyFill="1" applyBorder="1" applyAlignment="1" applyProtection="1">
      <alignment horizontal="center" vertical="center"/>
      <protection locked="0"/>
    </xf>
    <xf numFmtId="49" fontId="4" fillId="23" borderId="18" xfId="0" applyNumberFormat="1" applyFont="1" applyFill="1" applyBorder="1" applyAlignment="1" applyProtection="1">
      <alignment horizontal="center" vertical="center"/>
      <protection locked="0"/>
    </xf>
    <xf numFmtId="49" fontId="4" fillId="22" borderId="20" xfId="0" applyNumberFormat="1" applyFont="1" applyFill="1" applyBorder="1" applyAlignment="1" applyProtection="1">
      <alignment horizontal="center" vertical="center"/>
      <protection locked="0"/>
    </xf>
    <xf numFmtId="165" fontId="24" fillId="20" borderId="20" xfId="0" applyNumberFormat="1" applyFont="1" applyFill="1" applyBorder="1" applyAlignment="1" applyProtection="1">
      <alignment horizontal="center" vertical="center"/>
      <protection locked="0"/>
    </xf>
    <xf numFmtId="0" fontId="10" fillId="2" borderId="39" xfId="0" applyFont="1" applyFill="1" applyBorder="1" applyAlignment="1" applyProtection="1">
      <alignment horizontal="center" vertical="center"/>
      <protection locked="0"/>
    </xf>
    <xf numFmtId="0" fontId="4" fillId="27" borderId="41" xfId="0" applyFont="1" applyFill="1" applyBorder="1" applyAlignment="1" applyProtection="1">
      <alignment horizontal="left" vertical="center"/>
      <protection locked="0"/>
    </xf>
    <xf numFmtId="0" fontId="4" fillId="23" borderId="11" xfId="0" applyFont="1" applyFill="1" applyBorder="1" applyAlignment="1" applyProtection="1">
      <alignment horizontal="center" vertical="center"/>
      <protection locked="0"/>
    </xf>
    <xf numFmtId="49" fontId="4" fillId="23" borderId="11" xfId="0" applyNumberFormat="1" applyFont="1" applyFill="1" applyBorder="1" applyAlignment="1" applyProtection="1">
      <alignment horizontal="center" vertical="center"/>
      <protection locked="0"/>
    </xf>
    <xf numFmtId="49" fontId="4" fillId="22" borderId="12" xfId="0" applyNumberFormat="1" applyFont="1" applyFill="1" applyBorder="1" applyAlignment="1" applyProtection="1">
      <alignment horizontal="center" vertical="center"/>
      <protection locked="0"/>
    </xf>
    <xf numFmtId="165" fontId="24" fillId="25" borderId="41" xfId="0" applyNumberFormat="1" applyFont="1" applyFill="1" applyBorder="1" applyAlignment="1" applyProtection="1">
      <alignment horizontal="center" vertical="center"/>
      <protection locked="0"/>
    </xf>
    <xf numFmtId="165" fontId="24" fillId="25" borderId="11" xfId="0" applyNumberFormat="1" applyFont="1" applyFill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5" fontId="4" fillId="0" borderId="12" xfId="0" applyNumberFormat="1" applyFont="1" applyBorder="1" applyAlignment="1" applyProtection="1">
      <alignment horizontal="center" vertical="center"/>
      <protection locked="0"/>
    </xf>
    <xf numFmtId="0" fontId="4" fillId="27" borderId="30" xfId="0" applyFont="1" applyFill="1" applyBorder="1" applyAlignment="1" applyProtection="1">
      <alignment horizontal="left" vertical="center"/>
      <protection locked="0"/>
    </xf>
    <xf numFmtId="0" fontId="4" fillId="27" borderId="42" xfId="0" applyFont="1" applyFill="1" applyBorder="1" applyAlignment="1" applyProtection="1">
      <alignment horizontal="left" vertical="center"/>
      <protection locked="0"/>
    </xf>
    <xf numFmtId="49" fontId="4" fillId="11" borderId="27" xfId="0" applyNumberFormat="1" applyFont="1" applyFill="1" applyBorder="1" applyAlignment="1" applyProtection="1">
      <alignment horizontal="center" vertical="center"/>
      <protection locked="0"/>
    </xf>
    <xf numFmtId="165" fontId="24" fillId="20" borderId="27" xfId="0" applyNumberFormat="1" applyFont="1" applyFill="1" applyBorder="1" applyAlignment="1" applyProtection="1">
      <alignment horizontal="center" vertical="center"/>
      <protection locked="0"/>
    </xf>
    <xf numFmtId="0" fontId="4" fillId="15" borderId="5" xfId="0" applyFont="1" applyFill="1" applyBorder="1" applyAlignment="1" applyProtection="1">
      <alignment horizontal="left" vertical="center"/>
      <protection locked="0"/>
    </xf>
    <xf numFmtId="165" fontId="4" fillId="25" borderId="6" xfId="0" applyNumberFormat="1" applyFont="1" applyFill="1" applyBorder="1" applyAlignment="1" applyProtection="1">
      <alignment horizontal="center" vertical="center"/>
      <protection locked="0"/>
    </xf>
    <xf numFmtId="165" fontId="4" fillId="25" borderId="9" xfId="0" applyNumberFormat="1" applyFont="1" applyFill="1" applyBorder="1" applyAlignment="1" applyProtection="1">
      <alignment horizontal="center" vertical="center"/>
      <protection locked="0"/>
    </xf>
    <xf numFmtId="0" fontId="4" fillId="15" borderId="13" xfId="0" applyFont="1" applyFill="1" applyBorder="1" applyAlignment="1" applyProtection="1">
      <alignment horizontal="left" vertical="center"/>
      <protection locked="0"/>
    </xf>
    <xf numFmtId="0" fontId="10" fillId="2" borderId="43" xfId="0" applyFont="1" applyFill="1" applyBorder="1" applyAlignment="1" applyProtection="1">
      <alignment horizontal="center" vertical="center"/>
      <protection locked="0"/>
    </xf>
    <xf numFmtId="0" fontId="4" fillId="15" borderId="26" xfId="0" applyFont="1" applyFill="1" applyBorder="1" applyAlignment="1" applyProtection="1">
      <alignment horizontal="left" vertical="center"/>
      <protection locked="0"/>
    </xf>
    <xf numFmtId="165" fontId="4" fillId="25" borderId="27" xfId="0" applyNumberFormat="1" applyFont="1" applyFill="1" applyBorder="1" applyAlignment="1" applyProtection="1">
      <alignment horizontal="center" vertical="center"/>
      <protection locked="0"/>
    </xf>
    <xf numFmtId="165" fontId="4" fillId="20" borderId="33" xfId="0" applyNumberFormat="1" applyFont="1" applyFill="1" applyBorder="1" applyAlignment="1" applyProtection="1">
      <alignment horizontal="center" vertical="center"/>
      <protection locked="0"/>
    </xf>
    <xf numFmtId="165" fontId="6" fillId="24" borderId="43" xfId="0" applyNumberFormat="1" applyFont="1" applyFill="1" applyBorder="1" applyAlignment="1" applyProtection="1">
      <alignment horizontal="right" vertical="center"/>
      <protection locked="0"/>
    </xf>
    <xf numFmtId="165" fontId="24" fillId="3" borderId="30" xfId="0" applyNumberFormat="1" applyFont="1" applyFill="1" applyBorder="1" applyAlignment="1" applyProtection="1">
      <alignment horizontal="center" vertical="center"/>
      <protection locked="0"/>
    </xf>
    <xf numFmtId="165" fontId="24" fillId="3" borderId="14" xfId="0" applyNumberFormat="1" applyFont="1" applyFill="1" applyBorder="1" applyAlignment="1" applyProtection="1">
      <alignment horizontal="center" vertical="center"/>
      <protection locked="0"/>
    </xf>
    <xf numFmtId="165" fontId="24" fillId="3" borderId="21" xfId="0" applyNumberFormat="1" applyFont="1" applyFill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165" fontId="24" fillId="25" borderId="42" xfId="0" applyNumberFormat="1" applyFont="1" applyFill="1" applyBorder="1" applyAlignment="1" applyProtection="1">
      <alignment horizontal="center" vertical="center"/>
      <protection locked="0"/>
    </xf>
    <xf numFmtId="165" fontId="4" fillId="25" borderId="33" xfId="0" applyNumberFormat="1" applyFont="1" applyFill="1" applyBorder="1" applyAlignment="1" applyProtection="1">
      <alignment horizontal="center" vertical="center"/>
      <protection locked="0"/>
    </xf>
    <xf numFmtId="165" fontId="24" fillId="25" borderId="18" xfId="0" applyNumberFormat="1" applyFont="1" applyFill="1" applyBorder="1" applyAlignment="1" applyProtection="1">
      <alignment horizontal="center" vertical="center"/>
      <protection locked="0"/>
    </xf>
    <xf numFmtId="165" fontId="4" fillId="25" borderId="18" xfId="0" applyNumberFormat="1" applyFont="1" applyFill="1" applyBorder="1" applyAlignment="1" applyProtection="1">
      <alignment horizontal="center" vertical="center"/>
      <protection locked="0"/>
    </xf>
    <xf numFmtId="165" fontId="24" fillId="0" borderId="18" xfId="0" applyNumberFormat="1" applyFont="1" applyBorder="1" applyAlignment="1" applyProtection="1">
      <alignment horizontal="center" vertical="center"/>
      <protection locked="0"/>
    </xf>
    <xf numFmtId="165" fontId="4" fillId="25" borderId="20" xfId="0" applyNumberFormat="1" applyFont="1" applyFill="1" applyBorder="1" applyAlignment="1" applyProtection="1">
      <alignment horizontal="center" vertical="center"/>
      <protection locked="0"/>
    </xf>
    <xf numFmtId="0" fontId="4" fillId="29" borderId="45" xfId="0" applyFont="1" applyFill="1" applyBorder="1" applyAlignment="1" applyProtection="1">
      <alignment horizontal="left" vertical="center"/>
      <protection locked="0"/>
    </xf>
    <xf numFmtId="165" fontId="4" fillId="29" borderId="2" xfId="0" applyNumberFormat="1" applyFont="1" applyFill="1" applyBorder="1" applyAlignment="1" applyProtection="1">
      <alignment horizontal="center" vertical="center"/>
      <protection locked="0"/>
    </xf>
    <xf numFmtId="49" fontId="4" fillId="11" borderId="2" xfId="0" applyNumberFormat="1" applyFont="1" applyFill="1" applyBorder="1" applyAlignment="1" applyProtection="1">
      <alignment horizontal="center" vertical="center"/>
      <protection locked="0"/>
    </xf>
    <xf numFmtId="165" fontId="4" fillId="22" borderId="4" xfId="0" applyNumberFormat="1" applyFont="1" applyFill="1" applyBorder="1" applyAlignment="1" applyProtection="1">
      <alignment horizontal="center" vertical="center"/>
      <protection locked="0"/>
    </xf>
    <xf numFmtId="165" fontId="4" fillId="25" borderId="45" xfId="0" applyNumberFormat="1" applyFont="1" applyFill="1" applyBorder="1" applyAlignment="1" applyProtection="1">
      <alignment horizontal="center" vertical="center"/>
      <protection locked="0"/>
    </xf>
    <xf numFmtId="165" fontId="4" fillId="25" borderId="46" xfId="0" applyNumberFormat="1" applyFont="1" applyFill="1" applyBorder="1" applyAlignment="1" applyProtection="1">
      <alignment horizontal="center" vertical="center"/>
      <protection locked="0"/>
    </xf>
    <xf numFmtId="0" fontId="4" fillId="30" borderId="10" xfId="0" applyFont="1" applyFill="1" applyBorder="1" applyAlignment="1" applyProtection="1">
      <alignment horizontal="left" vertical="center"/>
      <protection locked="0"/>
    </xf>
    <xf numFmtId="165" fontId="4" fillId="30" borderId="11" xfId="0" applyNumberFormat="1" applyFont="1" applyFill="1" applyBorder="1" applyAlignment="1" applyProtection="1">
      <alignment horizontal="center" vertical="center"/>
      <protection locked="0"/>
    </xf>
    <xf numFmtId="49" fontId="4" fillId="7" borderId="11" xfId="0" applyNumberFormat="1" applyFont="1" applyFill="1" applyBorder="1" applyAlignment="1" applyProtection="1">
      <alignment horizontal="center" vertical="center"/>
      <protection locked="0"/>
    </xf>
    <xf numFmtId="165" fontId="4" fillId="22" borderId="12" xfId="0" applyNumberFormat="1" applyFont="1" applyFill="1" applyBorder="1" applyAlignment="1" applyProtection="1">
      <alignment horizontal="center" vertical="center"/>
      <protection locked="0"/>
    </xf>
    <xf numFmtId="165" fontId="4" fillId="25" borderId="41" xfId="0" applyNumberFormat="1" applyFont="1" applyFill="1" applyBorder="1" applyAlignment="1" applyProtection="1">
      <alignment horizontal="center" vertical="center"/>
      <protection locked="0"/>
    </xf>
    <xf numFmtId="165" fontId="4" fillId="25" borderId="11" xfId="0" applyNumberFormat="1" applyFont="1" applyFill="1" applyBorder="1" applyAlignment="1" applyProtection="1">
      <alignment horizontal="center" vertical="center"/>
      <protection locked="0"/>
    </xf>
    <xf numFmtId="165" fontId="4" fillId="25" borderId="47" xfId="0" applyNumberFormat="1" applyFont="1" applyFill="1" applyBorder="1" applyAlignment="1" applyProtection="1">
      <alignment horizontal="center" vertical="center"/>
      <protection locked="0"/>
    </xf>
    <xf numFmtId="0" fontId="4" fillId="30" borderId="17" xfId="0" applyFont="1" applyFill="1" applyBorder="1" applyAlignment="1" applyProtection="1">
      <alignment horizontal="left" vertical="center"/>
      <protection locked="0"/>
    </xf>
    <xf numFmtId="165" fontId="4" fillId="30" borderId="18" xfId="0" applyNumberFormat="1" applyFont="1" applyFill="1" applyBorder="1" applyAlignment="1" applyProtection="1">
      <alignment horizontal="center" vertical="center"/>
      <protection locked="0"/>
    </xf>
    <xf numFmtId="165" fontId="4" fillId="22" borderId="20" xfId="0" applyNumberFormat="1" applyFont="1" applyFill="1" applyBorder="1" applyAlignment="1" applyProtection="1">
      <alignment horizontal="center" vertical="center"/>
      <protection locked="0"/>
    </xf>
    <xf numFmtId="165" fontId="4" fillId="25" borderId="40" xfId="0" applyNumberFormat="1" applyFont="1" applyFill="1" applyBorder="1" applyAlignment="1" applyProtection="1">
      <alignment horizontal="center" vertical="center"/>
      <protection locked="0"/>
    </xf>
    <xf numFmtId="165" fontId="4" fillId="25" borderId="48" xfId="0" applyNumberFormat="1" applyFont="1" applyFill="1" applyBorder="1" applyAlignment="1" applyProtection="1">
      <alignment horizontal="center" vertical="center"/>
      <protection locked="0"/>
    </xf>
    <xf numFmtId="165" fontId="4" fillId="27" borderId="38" xfId="0" applyNumberFormat="1" applyFont="1" applyFill="1" applyBorder="1" applyAlignment="1" applyProtection="1">
      <alignment horizontal="left" vertical="center"/>
      <protection locked="0"/>
    </xf>
    <xf numFmtId="165" fontId="4" fillId="27" borderId="6" xfId="0" applyNumberFormat="1" applyFont="1" applyFill="1" applyBorder="1" applyAlignment="1" applyProtection="1">
      <alignment horizontal="center" vertical="center"/>
      <protection locked="0"/>
    </xf>
    <xf numFmtId="49" fontId="4" fillId="27" borderId="6" xfId="0" applyNumberFormat="1" applyFont="1" applyFill="1" applyBorder="1" applyAlignment="1" applyProtection="1">
      <alignment horizontal="center" vertical="center"/>
      <protection locked="0"/>
    </xf>
    <xf numFmtId="165" fontId="4" fillId="25" borderId="38" xfId="0" applyNumberFormat="1" applyFont="1" applyFill="1" applyBorder="1" applyAlignment="1" applyProtection="1">
      <alignment horizontal="center" vertical="center"/>
      <protection locked="0"/>
    </xf>
    <xf numFmtId="165" fontId="4" fillId="27" borderId="30" xfId="0" applyNumberFormat="1" applyFont="1" applyFill="1" applyBorder="1" applyAlignment="1" applyProtection="1">
      <alignment horizontal="left" vertical="center"/>
      <protection locked="0"/>
    </xf>
    <xf numFmtId="165" fontId="4" fillId="27" borderId="14" xfId="0" applyNumberFormat="1" applyFont="1" applyFill="1" applyBorder="1" applyAlignment="1" applyProtection="1">
      <alignment horizontal="center" vertical="center"/>
      <protection locked="0"/>
    </xf>
    <xf numFmtId="49" fontId="4" fillId="27" borderId="14" xfId="0" applyNumberFormat="1" applyFont="1" applyFill="1" applyBorder="1" applyAlignment="1" applyProtection="1">
      <alignment horizontal="center" vertical="center"/>
      <protection locked="0"/>
    </xf>
    <xf numFmtId="165" fontId="4" fillId="25" borderId="4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165" fontId="4" fillId="27" borderId="40" xfId="0" applyNumberFormat="1" applyFont="1" applyFill="1" applyBorder="1" applyAlignment="1" applyProtection="1">
      <alignment horizontal="left" vertical="center"/>
      <protection locked="0"/>
    </xf>
    <xf numFmtId="165" fontId="4" fillId="27" borderId="18" xfId="0" applyNumberFormat="1" applyFont="1" applyFill="1" applyBorder="1" applyAlignment="1" applyProtection="1">
      <alignment horizontal="center" vertical="center"/>
      <protection locked="0"/>
    </xf>
    <xf numFmtId="49" fontId="4" fillId="27" borderId="18" xfId="0" applyNumberFormat="1" applyFont="1" applyFill="1" applyBorder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165" fontId="7" fillId="24" borderId="22" xfId="0" applyNumberFormat="1" applyFont="1" applyFill="1" applyBorder="1" applyAlignment="1" applyProtection="1">
      <alignment horizontal="center" vertical="center"/>
      <protection locked="0"/>
    </xf>
    <xf numFmtId="165" fontId="23" fillId="8" borderId="3" xfId="0" applyNumberFormat="1" applyFont="1" applyFill="1" applyBorder="1" applyAlignment="1" applyProtection="1">
      <alignment horizontal="right" vertical="center"/>
      <protection locked="0"/>
    </xf>
    <xf numFmtId="0" fontId="4" fillId="20" borderId="1" xfId="0" applyFont="1" applyFill="1" applyBorder="1" applyAlignment="1" applyProtection="1">
      <alignment horizontal="center" vertical="center"/>
      <protection locked="0"/>
    </xf>
    <xf numFmtId="0" fontId="4" fillId="20" borderId="11" xfId="0" applyFont="1" applyFill="1" applyBorder="1" applyAlignment="1" applyProtection="1">
      <alignment horizontal="center" vertical="center"/>
      <protection locked="0"/>
    </xf>
    <xf numFmtId="165" fontId="24" fillId="0" borderId="11" xfId="0" applyNumberFormat="1" applyFont="1" applyBorder="1" applyAlignment="1" applyProtection="1">
      <alignment horizontal="center" vertical="center"/>
      <protection locked="0"/>
    </xf>
    <xf numFmtId="165" fontId="24" fillId="0" borderId="12" xfId="0" applyNumberFormat="1" applyFont="1" applyBorder="1" applyAlignment="1" applyProtection="1">
      <alignment horizontal="center" vertical="center"/>
      <protection locked="0"/>
    </xf>
    <xf numFmtId="0" fontId="4" fillId="20" borderId="14" xfId="0" applyFont="1" applyFill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left" vertical="center"/>
      <protection locked="0"/>
    </xf>
    <xf numFmtId="165" fontId="24" fillId="0" borderId="30" xfId="0" applyNumberFormat="1" applyFont="1" applyBorder="1" applyAlignment="1" applyProtection="1">
      <alignment horizontal="center" vertical="center"/>
      <protection locked="0"/>
    </xf>
    <xf numFmtId="165" fontId="24" fillId="0" borderId="27" xfId="0" applyNumberFormat="1" applyFont="1" applyBorder="1" applyAlignment="1" applyProtection="1">
      <alignment horizontal="center" vertical="center"/>
      <protection locked="0"/>
    </xf>
    <xf numFmtId="0" fontId="4" fillId="20" borderId="18" xfId="0" applyFont="1" applyFill="1" applyBorder="1" applyAlignment="1" applyProtection="1">
      <alignment horizontal="center" vertical="center"/>
      <protection locked="0"/>
    </xf>
    <xf numFmtId="0" fontId="4" fillId="3" borderId="17" xfId="0" applyFont="1" applyFill="1" applyBorder="1" applyAlignment="1" applyProtection="1">
      <alignment horizontal="left" vertical="center"/>
      <protection locked="0"/>
    </xf>
    <xf numFmtId="49" fontId="4" fillId="7" borderId="18" xfId="0" applyNumberFormat="1" applyFont="1" applyFill="1" applyBorder="1" applyAlignment="1" applyProtection="1">
      <alignment horizontal="center" vertical="center"/>
      <protection locked="0"/>
    </xf>
    <xf numFmtId="165" fontId="4" fillId="20" borderId="20" xfId="0" applyNumberFormat="1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49" fontId="4" fillId="11" borderId="11" xfId="0" applyNumberFormat="1" applyFont="1" applyFill="1" applyBorder="1" applyAlignment="1" applyProtection="1">
      <alignment horizontal="center" vertical="center"/>
      <protection locked="0"/>
    </xf>
    <xf numFmtId="49" fontId="24" fillId="23" borderId="14" xfId="0" applyNumberFormat="1" applyFont="1" applyFill="1" applyBorder="1" applyAlignment="1" applyProtection="1">
      <alignment horizontal="center" vertical="center"/>
      <protection locked="0"/>
    </xf>
    <xf numFmtId="0" fontId="4" fillId="20" borderId="32" xfId="0" applyFont="1" applyFill="1" applyBorder="1" applyAlignment="1" applyProtection="1">
      <alignment horizontal="center" vertical="center"/>
      <protection locked="0"/>
    </xf>
    <xf numFmtId="0" fontId="4" fillId="3" borderId="50" xfId="0" applyFont="1" applyFill="1" applyBorder="1" applyAlignment="1" applyProtection="1">
      <alignment horizontal="left" vertical="center"/>
      <protection locked="0"/>
    </xf>
    <xf numFmtId="0" fontId="4" fillId="23" borderId="32" xfId="0" applyFont="1" applyFill="1" applyBorder="1" applyAlignment="1" applyProtection="1">
      <alignment horizontal="center" vertical="center"/>
      <protection locked="0"/>
    </xf>
    <xf numFmtId="49" fontId="24" fillId="23" borderId="27" xfId="0" applyNumberFormat="1" applyFont="1" applyFill="1" applyBorder="1" applyAlignment="1" applyProtection="1">
      <alignment horizontal="center" vertical="center"/>
      <protection locked="0"/>
    </xf>
    <xf numFmtId="49" fontId="4" fillId="22" borderId="51" xfId="0" applyNumberFormat="1" applyFont="1" applyFill="1" applyBorder="1" applyAlignment="1" applyProtection="1">
      <alignment horizontal="center" vertical="center"/>
      <protection locked="0"/>
    </xf>
    <xf numFmtId="0" fontId="4" fillId="29" borderId="1" xfId="0" applyFont="1" applyFill="1" applyBorder="1" applyAlignment="1" applyProtection="1">
      <alignment horizontal="left" vertical="center"/>
      <protection locked="0"/>
    </xf>
    <xf numFmtId="0" fontId="4" fillId="20" borderId="5" xfId="0" applyFont="1" applyFill="1" applyBorder="1" applyAlignment="1" applyProtection="1">
      <alignment horizontal="center" vertical="center"/>
      <protection locked="0"/>
    </xf>
    <xf numFmtId="0" fontId="4" fillId="30" borderId="5" xfId="0" applyFont="1" applyFill="1" applyBorder="1" applyAlignment="1" applyProtection="1">
      <alignment horizontal="left" vertical="center"/>
      <protection locked="0"/>
    </xf>
    <xf numFmtId="165" fontId="4" fillId="30" borderId="6" xfId="0" applyNumberFormat="1" applyFont="1" applyFill="1" applyBorder="1" applyAlignment="1" applyProtection="1">
      <alignment horizontal="center" vertical="center"/>
      <protection locked="0"/>
    </xf>
    <xf numFmtId="0" fontId="4" fillId="20" borderId="17" xfId="0" applyFont="1" applyFill="1" applyBorder="1" applyAlignment="1" applyProtection="1">
      <alignment horizontal="center" vertical="center"/>
      <protection locked="0"/>
    </xf>
    <xf numFmtId="0" fontId="4" fillId="20" borderId="6" xfId="0" applyFont="1" applyFill="1" applyBorder="1" applyAlignment="1" applyProtection="1">
      <alignment horizontal="center" vertical="center"/>
      <protection locked="0"/>
    </xf>
    <xf numFmtId="165" fontId="4" fillId="27" borderId="5" xfId="0" applyNumberFormat="1" applyFont="1" applyFill="1" applyBorder="1" applyAlignment="1" applyProtection="1">
      <alignment horizontal="left" vertical="center"/>
      <protection locked="0"/>
    </xf>
    <xf numFmtId="165" fontId="4" fillId="27" borderId="13" xfId="0" applyNumberFormat="1" applyFont="1" applyFill="1" applyBorder="1" applyAlignment="1" applyProtection="1">
      <alignment horizontal="left" vertical="center"/>
      <protection locked="0"/>
    </xf>
    <xf numFmtId="165" fontId="4" fillId="27" borderId="17" xfId="0" applyNumberFormat="1" applyFont="1" applyFill="1" applyBorder="1" applyAlignment="1" applyProtection="1">
      <alignment horizontal="left" vertical="center"/>
      <protection locked="0"/>
    </xf>
    <xf numFmtId="165" fontId="6" fillId="24" borderId="25" xfId="0" applyNumberFormat="1" applyFont="1" applyFill="1" applyBorder="1" applyAlignment="1" applyProtection="1">
      <alignment horizontal="right" vertical="center"/>
      <protection locked="0"/>
    </xf>
    <xf numFmtId="164" fontId="4" fillId="4" borderId="8" xfId="0" applyNumberFormat="1" applyFont="1" applyFill="1" applyBorder="1" applyAlignment="1" applyProtection="1">
      <alignment horizontal="center" vertical="center"/>
      <protection locked="0"/>
    </xf>
    <xf numFmtId="0" fontId="4" fillId="6" borderId="5" xfId="0" applyFont="1" applyFill="1" applyBorder="1" applyAlignment="1" applyProtection="1">
      <alignment horizontal="left" vertical="center"/>
      <protection locked="0"/>
    </xf>
    <xf numFmtId="49" fontId="4" fillId="22" borderId="7" xfId="0" applyNumberFormat="1" applyFont="1" applyFill="1" applyBorder="1" applyAlignment="1" applyProtection="1">
      <alignment horizontal="center" vertical="center"/>
      <protection locked="0"/>
    </xf>
    <xf numFmtId="165" fontId="6" fillId="14" borderId="52" xfId="0" applyNumberFormat="1" applyFont="1" applyFill="1" applyBorder="1" applyAlignment="1" applyProtection="1">
      <alignment horizontal="right" vertical="center"/>
      <protection locked="0"/>
    </xf>
    <xf numFmtId="165" fontId="4" fillId="25" borderId="12" xfId="0" applyNumberFormat="1" applyFont="1" applyFill="1" applyBorder="1" applyAlignment="1" applyProtection="1">
      <alignment horizontal="center" vertical="center"/>
      <protection locked="0"/>
    </xf>
    <xf numFmtId="165" fontId="6" fillId="14" borderId="8" xfId="0" applyNumberFormat="1" applyFont="1" applyFill="1" applyBorder="1" applyAlignment="1" applyProtection="1">
      <alignment horizontal="right" vertical="center"/>
      <protection locked="0"/>
    </xf>
    <xf numFmtId="164" fontId="4" fillId="4" borderId="16" xfId="0" applyNumberFormat="1" applyFont="1" applyFill="1" applyBorder="1" applyAlignment="1" applyProtection="1">
      <alignment horizontal="center" vertical="center"/>
      <protection locked="0"/>
    </xf>
    <xf numFmtId="0" fontId="4" fillId="6" borderId="13" xfId="0" applyFont="1" applyFill="1" applyBorder="1" applyAlignment="1" applyProtection="1">
      <alignment horizontal="left" vertical="center"/>
      <protection locked="0"/>
    </xf>
    <xf numFmtId="165" fontId="6" fillId="14" borderId="16" xfId="0" applyNumberFormat="1" applyFont="1" applyFill="1" applyBorder="1" applyAlignment="1" applyProtection="1">
      <alignment horizontal="right" vertical="center"/>
      <protection locked="0"/>
    </xf>
    <xf numFmtId="164" fontId="4" fillId="4" borderId="43" xfId="0" applyNumberFormat="1" applyFont="1" applyFill="1" applyBorder="1" applyAlignment="1" applyProtection="1">
      <alignment horizontal="center" vertical="center"/>
      <protection locked="0"/>
    </xf>
    <xf numFmtId="0" fontId="4" fillId="6" borderId="26" xfId="0" applyFont="1" applyFill="1" applyBorder="1" applyAlignment="1" applyProtection="1">
      <alignment horizontal="left" vertical="center"/>
      <protection locked="0"/>
    </xf>
    <xf numFmtId="164" fontId="4" fillId="4" borderId="19" xfId="0" applyNumberFormat="1" applyFont="1" applyFill="1" applyBorder="1" applyAlignment="1" applyProtection="1">
      <alignment horizontal="center" vertical="center"/>
      <protection locked="0"/>
    </xf>
    <xf numFmtId="0" fontId="4" fillId="6" borderId="17" xfId="0" applyFont="1" applyFill="1" applyBorder="1" applyAlignment="1" applyProtection="1">
      <alignment horizontal="left" vertical="center"/>
      <protection locked="0"/>
    </xf>
    <xf numFmtId="165" fontId="24" fillId="25" borderId="17" xfId="0" applyNumberFormat="1" applyFont="1" applyFill="1" applyBorder="1" applyAlignment="1" applyProtection="1">
      <alignment horizontal="center" vertical="center"/>
      <protection locked="0"/>
    </xf>
    <xf numFmtId="165" fontId="6" fillId="14" borderId="19" xfId="0" applyNumberFormat="1" applyFont="1" applyFill="1" applyBorder="1" applyAlignment="1" applyProtection="1">
      <alignment horizontal="right" vertical="center"/>
      <protection locked="0"/>
    </xf>
    <xf numFmtId="164" fontId="4" fillId="4" borderId="39" xfId="0" applyNumberFormat="1" applyFont="1" applyFill="1" applyBorder="1" applyAlignment="1" applyProtection="1">
      <alignment horizontal="center" vertical="center"/>
      <protection locked="0"/>
    </xf>
    <xf numFmtId="0" fontId="4" fillId="29" borderId="41" xfId="0" applyFont="1" applyFill="1" applyBorder="1" applyAlignment="1" applyProtection="1">
      <alignment horizontal="left" vertical="center"/>
      <protection locked="0"/>
    </xf>
    <xf numFmtId="165" fontId="4" fillId="29" borderId="11" xfId="0" applyNumberFormat="1" applyFont="1" applyFill="1" applyBorder="1" applyAlignment="1" applyProtection="1">
      <alignment horizontal="center" vertical="center"/>
      <protection locked="0"/>
    </xf>
    <xf numFmtId="49" fontId="4" fillId="29" borderId="11" xfId="0" applyNumberFormat="1" applyFont="1" applyFill="1" applyBorder="1" applyAlignment="1" applyProtection="1">
      <alignment horizontal="center" vertical="center"/>
      <protection locked="0"/>
    </xf>
    <xf numFmtId="165" fontId="24" fillId="0" borderId="41" xfId="0" applyNumberFormat="1" applyFont="1" applyBorder="1" applyAlignment="1" applyProtection="1">
      <alignment horizontal="center" vertical="center"/>
      <protection locked="0"/>
    </xf>
    <xf numFmtId="165" fontId="6" fillId="24" borderId="53" xfId="0" applyNumberFormat="1" applyFont="1" applyFill="1" applyBorder="1" applyAlignment="1" applyProtection="1">
      <alignment horizontal="right" vertical="center"/>
      <protection locked="0"/>
    </xf>
    <xf numFmtId="0" fontId="4" fillId="29" borderId="40" xfId="0" applyFont="1" applyFill="1" applyBorder="1" applyAlignment="1" applyProtection="1">
      <alignment horizontal="left" vertical="center"/>
      <protection locked="0"/>
    </xf>
    <xf numFmtId="165" fontId="4" fillId="29" borderId="18" xfId="0" applyNumberFormat="1" applyFont="1" applyFill="1" applyBorder="1" applyAlignment="1" applyProtection="1">
      <alignment horizontal="center" vertical="center"/>
      <protection locked="0"/>
    </xf>
    <xf numFmtId="49" fontId="4" fillId="29" borderId="18" xfId="0" applyNumberFormat="1" applyFont="1" applyFill="1" applyBorder="1" applyAlignment="1" applyProtection="1">
      <alignment horizontal="center" vertical="center"/>
      <protection locked="0"/>
    </xf>
    <xf numFmtId="165" fontId="6" fillId="24" borderId="54" xfId="0" applyNumberFormat="1" applyFont="1" applyFill="1" applyBorder="1" applyAlignment="1" applyProtection="1">
      <alignment horizontal="right" vertical="center"/>
      <protection locked="0"/>
    </xf>
    <xf numFmtId="165" fontId="6" fillId="24" borderId="52" xfId="0" applyNumberFormat="1" applyFont="1" applyFill="1" applyBorder="1" applyAlignment="1" applyProtection="1">
      <alignment horizontal="right" vertical="center"/>
      <protection locked="0"/>
    </xf>
    <xf numFmtId="165" fontId="4" fillId="25" borderId="30" xfId="0" applyNumberFormat="1" applyFont="1" applyFill="1" applyBorder="1" applyAlignment="1" applyProtection="1">
      <alignment horizontal="center" vertical="center"/>
      <protection locked="0"/>
    </xf>
    <xf numFmtId="165" fontId="6" fillId="24" borderId="55" xfId="0" applyNumberFormat="1" applyFont="1" applyFill="1" applyBorder="1" applyAlignment="1" applyProtection="1">
      <alignment horizontal="right" vertical="center"/>
      <protection locked="0"/>
    </xf>
    <xf numFmtId="165" fontId="7" fillId="27" borderId="22" xfId="0" applyNumberFormat="1" applyFont="1" applyFill="1" applyBorder="1" applyAlignment="1" applyProtection="1">
      <alignment horizontal="center" vertical="center"/>
      <protection locked="0"/>
    </xf>
    <xf numFmtId="167" fontId="7" fillId="0" borderId="0" xfId="0" applyNumberFormat="1" applyFont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left" vertical="center"/>
      <protection locked="0"/>
    </xf>
    <xf numFmtId="166" fontId="24" fillId="8" borderId="34" xfId="0" applyNumberFormat="1" applyFont="1" applyFill="1" applyBorder="1" applyAlignment="1" applyProtection="1">
      <alignment horizontal="left" vertical="center"/>
      <protection locked="0"/>
    </xf>
    <xf numFmtId="166" fontId="24" fillId="8" borderId="8" xfId="0" applyNumberFormat="1" applyFont="1" applyFill="1" applyBorder="1" applyAlignment="1" applyProtection="1">
      <alignment horizontal="left" vertical="center"/>
      <protection locked="0"/>
    </xf>
    <xf numFmtId="167" fontId="24" fillId="8" borderId="6" xfId="0" applyNumberFormat="1" applyFont="1" applyFill="1" applyBorder="1" applyAlignment="1" applyProtection="1">
      <alignment horizontal="center" vertical="center"/>
      <protection locked="0"/>
    </xf>
    <xf numFmtId="166" fontId="24" fillId="8" borderId="56" xfId="0" applyNumberFormat="1" applyFont="1" applyFill="1" applyBorder="1" applyAlignment="1" applyProtection="1">
      <alignment horizontal="left" vertical="center"/>
      <protection locked="0"/>
    </xf>
    <xf numFmtId="165" fontId="24" fillId="3" borderId="6" xfId="0" applyNumberFormat="1" applyFont="1" applyFill="1" applyBorder="1" applyAlignment="1">
      <alignment horizontal="center" vertical="center"/>
    </xf>
    <xf numFmtId="165" fontId="24" fillId="3" borderId="9" xfId="0" applyNumberFormat="1" applyFont="1" applyFill="1" applyBorder="1" applyAlignment="1">
      <alignment horizontal="center" vertical="center"/>
    </xf>
    <xf numFmtId="166" fontId="24" fillId="8" borderId="16" xfId="0" applyNumberFormat="1" applyFont="1" applyFill="1" applyBorder="1" applyAlignment="1" applyProtection="1">
      <alignment horizontal="center" vertical="center"/>
      <protection locked="0"/>
    </xf>
    <xf numFmtId="166" fontId="24" fillId="8" borderId="16" xfId="0" applyNumberFormat="1" applyFont="1" applyFill="1" applyBorder="1" applyAlignment="1" applyProtection="1">
      <alignment horizontal="left" vertical="center"/>
      <protection locked="0"/>
    </xf>
    <xf numFmtId="167" fontId="24" fillId="8" borderId="14" xfId="0" applyNumberFormat="1" applyFont="1" applyFill="1" applyBorder="1" applyAlignment="1" applyProtection="1">
      <alignment horizontal="center" vertical="center"/>
      <protection locked="0"/>
    </xf>
    <xf numFmtId="166" fontId="24" fillId="8" borderId="57" xfId="0" applyNumberFormat="1" applyFont="1" applyFill="1" applyBorder="1" applyAlignment="1" applyProtection="1">
      <alignment horizontal="left" vertical="center"/>
      <protection locked="0"/>
    </xf>
    <xf numFmtId="165" fontId="24" fillId="3" borderId="14" xfId="0" applyNumberFormat="1" applyFont="1" applyFill="1" applyBorder="1" applyAlignment="1">
      <alignment horizontal="center" vertical="center"/>
    </xf>
    <xf numFmtId="165" fontId="24" fillId="3" borderId="21" xfId="0" applyNumberFormat="1" applyFont="1" applyFill="1" applyBorder="1" applyAlignment="1">
      <alignment horizontal="center" vertical="center"/>
    </xf>
    <xf numFmtId="165" fontId="25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3" xfId="0" applyNumberFormat="1" applyFont="1" applyBorder="1" applyAlignment="1" applyProtection="1">
      <alignment horizontal="left" vertical="center"/>
      <protection locked="0"/>
    </xf>
    <xf numFmtId="0" fontId="4" fillId="4" borderId="14" xfId="0" applyFont="1" applyFill="1" applyBorder="1" applyAlignment="1" applyProtection="1">
      <alignment vertical="center"/>
      <protection locked="0"/>
    </xf>
    <xf numFmtId="0" fontId="20" fillId="4" borderId="14" xfId="0" applyFont="1" applyFill="1" applyBorder="1" applyAlignment="1" applyProtection="1">
      <alignment horizontal="left" vertical="center"/>
      <protection locked="0"/>
    </xf>
    <xf numFmtId="164" fontId="4" fillId="4" borderId="14" xfId="0" applyNumberFormat="1" applyFont="1" applyFill="1" applyBorder="1" applyAlignment="1" applyProtection="1">
      <alignment horizontal="center" vertical="center"/>
      <protection locked="0"/>
    </xf>
    <xf numFmtId="165" fontId="21" fillId="4" borderId="14" xfId="0" applyNumberFormat="1" applyFont="1" applyFill="1" applyBorder="1" applyAlignment="1">
      <alignment horizontal="center" vertical="center"/>
    </xf>
    <xf numFmtId="165" fontId="17" fillId="4" borderId="14" xfId="0" applyNumberFormat="1" applyFont="1" applyFill="1" applyBorder="1" applyAlignment="1">
      <alignment horizontal="right" vertical="center"/>
    </xf>
    <xf numFmtId="165" fontId="10" fillId="31" borderId="14" xfId="0" applyNumberFormat="1" applyFont="1" applyFill="1" applyBorder="1" applyAlignment="1" applyProtection="1">
      <alignment horizontal="center" vertical="center"/>
      <protection locked="0"/>
    </xf>
    <xf numFmtId="0" fontId="20" fillId="31" borderId="14" xfId="0" applyFont="1" applyFill="1" applyBorder="1" applyAlignment="1" applyProtection="1">
      <alignment horizontal="left" vertical="center"/>
      <protection locked="0"/>
    </xf>
    <xf numFmtId="164" fontId="10" fillId="31" borderId="14" xfId="0" applyNumberFormat="1" applyFont="1" applyFill="1" applyBorder="1" applyAlignment="1" applyProtection="1">
      <alignment horizontal="center" vertical="center"/>
      <protection locked="0"/>
    </xf>
    <xf numFmtId="165" fontId="21" fillId="31" borderId="29" xfId="0" applyNumberFormat="1" applyFont="1" applyFill="1" applyBorder="1" applyAlignment="1">
      <alignment horizontal="center" vertical="center"/>
    </xf>
    <xf numFmtId="165" fontId="17" fillId="31" borderId="14" xfId="0" applyNumberFormat="1" applyFont="1" applyFill="1" applyBorder="1" applyAlignment="1">
      <alignment horizontal="right" vertical="center"/>
    </xf>
    <xf numFmtId="165" fontId="13" fillId="0" borderId="0" xfId="0" applyNumberFormat="1" applyFont="1" applyAlignment="1" applyProtection="1">
      <alignment horizontal="center" vertical="center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165" fontId="21" fillId="4" borderId="29" xfId="0" applyNumberFormat="1" applyFont="1" applyFill="1" applyBorder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165" fontId="21" fillId="31" borderId="0" xfId="0" applyNumberFormat="1" applyFont="1" applyFill="1" applyAlignment="1" applyProtection="1">
      <alignment horizontal="center" vertical="center"/>
      <protection locked="0"/>
    </xf>
    <xf numFmtId="164" fontId="21" fillId="31" borderId="0" xfId="0" applyNumberFormat="1" applyFont="1" applyFill="1" applyAlignment="1" applyProtection="1">
      <alignment horizontal="center" vertical="center"/>
      <protection locked="0"/>
    </xf>
    <xf numFmtId="165" fontId="11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4" borderId="14" xfId="0" applyFont="1" applyFill="1" applyBorder="1" applyAlignment="1" applyProtection="1">
      <alignment vertical="center"/>
      <protection locked="0"/>
    </xf>
    <xf numFmtId="0" fontId="17" fillId="4" borderId="14" xfId="0" applyFont="1" applyFill="1" applyBorder="1" applyAlignment="1" applyProtection="1">
      <alignment horizontal="left" vertical="center"/>
      <protection locked="0"/>
    </xf>
    <xf numFmtId="164" fontId="6" fillId="4" borderId="14" xfId="0" applyNumberFormat="1" applyFont="1" applyFill="1" applyBorder="1" applyAlignment="1" applyProtection="1">
      <alignment horizontal="center" vertical="center"/>
      <protection locked="0"/>
    </xf>
    <xf numFmtId="165" fontId="17" fillId="4" borderId="14" xfId="0" applyNumberFormat="1" applyFont="1" applyFill="1" applyBorder="1" applyAlignment="1">
      <alignment horizontal="center" vertical="center"/>
    </xf>
    <xf numFmtId="165" fontId="22" fillId="31" borderId="14" xfId="0" applyNumberFormat="1" applyFont="1" applyFill="1" applyBorder="1" applyAlignment="1" applyProtection="1">
      <alignment horizontal="center" vertical="center"/>
      <protection locked="0"/>
    </xf>
    <xf numFmtId="0" fontId="17" fillId="31" borderId="14" xfId="0" applyFont="1" applyFill="1" applyBorder="1" applyAlignment="1" applyProtection="1">
      <alignment horizontal="left" vertical="center"/>
      <protection locked="0"/>
    </xf>
    <xf numFmtId="164" fontId="22" fillId="31" borderId="14" xfId="0" applyNumberFormat="1" applyFont="1" applyFill="1" applyBorder="1" applyAlignment="1" applyProtection="1">
      <alignment horizontal="center" vertical="center"/>
      <protection locked="0"/>
    </xf>
    <xf numFmtId="165" fontId="17" fillId="31" borderId="29" xfId="0" applyNumberFormat="1" applyFont="1" applyFill="1" applyBorder="1" applyAlignment="1">
      <alignment horizontal="center" vertical="center"/>
    </xf>
    <xf numFmtId="165" fontId="17" fillId="31" borderId="29" xfId="0" applyNumberFormat="1" applyFont="1" applyFill="1" applyBorder="1" applyAlignment="1">
      <alignment horizontal="right" vertical="center"/>
    </xf>
    <xf numFmtId="165" fontId="13" fillId="16" borderId="3" xfId="0" applyNumberFormat="1" applyFont="1" applyFill="1" applyBorder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28" fillId="0" borderId="0" xfId="0" applyFont="1" applyAlignment="1"/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right" vertical="center"/>
    </xf>
    <xf numFmtId="16" fontId="24" fillId="28" borderId="13" xfId="0" applyNumberFormat="1" applyFont="1" applyFill="1" applyBorder="1" applyAlignment="1"/>
    <xf numFmtId="0" fontId="4" fillId="28" borderId="14" xfId="0" applyFont="1" applyFill="1" applyBorder="1" applyAlignment="1"/>
    <xf numFmtId="165" fontId="4" fillId="28" borderId="14" xfId="0" applyNumberFormat="1" applyFont="1" applyFill="1" applyBorder="1" applyAlignment="1"/>
    <xf numFmtId="168" fontId="4" fillId="0" borderId="21" xfId="0" applyNumberFormat="1" applyFont="1" applyBorder="1" applyAlignment="1">
      <alignment horizontal="center" vertical="center"/>
    </xf>
    <xf numFmtId="16" fontId="4" fillId="0" borderId="13" xfId="0" applyNumberFormat="1" applyFont="1" applyBorder="1" applyAlignment="1"/>
    <xf numFmtId="0" fontId="4" fillId="0" borderId="30" xfId="0" applyFont="1" applyBorder="1" applyAlignment="1"/>
    <xf numFmtId="0" fontId="4" fillId="0" borderId="57" xfId="0" applyFont="1" applyBorder="1" applyAlignment="1"/>
    <xf numFmtId="168" fontId="4" fillId="0" borderId="21" xfId="0" applyNumberFormat="1" applyFont="1" applyBorder="1" applyAlignment="1"/>
    <xf numFmtId="16" fontId="4" fillId="0" borderId="30" xfId="0" applyNumberFormat="1" applyFont="1" applyBorder="1" applyAlignment="1"/>
    <xf numFmtId="168" fontId="4" fillId="0" borderId="29" xfId="0" applyNumberFormat="1" applyFont="1" applyBorder="1" applyAlignment="1"/>
    <xf numFmtId="16" fontId="24" fillId="28" borderId="30" xfId="0" applyNumberFormat="1" applyFont="1" applyFill="1" applyBorder="1" applyAlignment="1"/>
    <xf numFmtId="0" fontId="4" fillId="28" borderId="30" xfId="0" applyFont="1" applyFill="1" applyBorder="1" applyAlignment="1"/>
    <xf numFmtId="0" fontId="4" fillId="28" borderId="57" xfId="0" applyFont="1" applyFill="1" applyBorder="1" applyAlignment="1"/>
    <xf numFmtId="165" fontId="4" fillId="28" borderId="29" xfId="0" applyNumberFormat="1" applyFont="1" applyFill="1" applyBorder="1" applyAlignment="1"/>
    <xf numFmtId="0" fontId="4" fillId="0" borderId="13" xfId="0" applyFont="1" applyBorder="1" applyAlignment="1"/>
    <xf numFmtId="0" fontId="24" fillId="28" borderId="13" xfId="0" applyFont="1" applyFill="1" applyBorder="1" applyAlignment="1">
      <alignment horizontal="right" vertical="center"/>
    </xf>
    <xf numFmtId="16" fontId="4" fillId="28" borderId="13" xfId="0" applyNumberFormat="1" applyFont="1" applyFill="1" applyBorder="1" applyAlignment="1"/>
    <xf numFmtId="0" fontId="28" fillId="0" borderId="14" xfId="0" applyFont="1" applyBorder="1" applyAlignment="1"/>
    <xf numFmtId="0" fontId="28" fillId="0" borderId="29" xfId="0" applyFont="1" applyBorder="1" applyAlignment="1"/>
    <xf numFmtId="0" fontId="24" fillId="28" borderId="30" xfId="0" applyFont="1" applyFill="1" applyBorder="1" applyAlignment="1"/>
    <xf numFmtId="0" fontId="24" fillId="28" borderId="13" xfId="0" applyFont="1" applyFill="1" applyBorder="1" applyAlignment="1"/>
    <xf numFmtId="0" fontId="4" fillId="0" borderId="14" xfId="0" applyFont="1" applyBorder="1" applyAlignment="1"/>
    <xf numFmtId="0" fontId="4" fillId="0" borderId="29" xfId="0" applyFont="1" applyBorder="1" applyAlignment="1"/>
    <xf numFmtId="0" fontId="24" fillId="28" borderId="17" xfId="0" applyFont="1" applyFill="1" applyBorder="1" applyAlignment="1"/>
    <xf numFmtId="0" fontId="4" fillId="28" borderId="18" xfId="0" applyFont="1" applyFill="1" applyBorder="1" applyAlignment="1"/>
    <xf numFmtId="165" fontId="4" fillId="28" borderId="18" xfId="0" applyNumberFormat="1" applyFont="1" applyFill="1" applyBorder="1" applyAlignment="1"/>
    <xf numFmtId="0" fontId="4" fillId="0" borderId="17" xfId="0" applyFont="1" applyBorder="1" applyAlignment="1"/>
    <xf numFmtId="0" fontId="4" fillId="0" borderId="40" xfId="0" applyFont="1" applyBorder="1" applyAlignment="1"/>
    <xf numFmtId="0" fontId="4" fillId="0" borderId="58" xfId="0" applyFont="1" applyBorder="1" applyAlignment="1"/>
    <xf numFmtId="168" fontId="4" fillId="0" borderId="20" xfId="0" applyNumberFormat="1" applyFont="1" applyBorder="1" applyAlignment="1"/>
    <xf numFmtId="168" fontId="4" fillId="0" borderId="20" xfId="0" applyNumberFormat="1" applyFont="1" applyBorder="1" applyAlignment="1">
      <alignment horizontal="center" vertical="center"/>
    </xf>
    <xf numFmtId="0" fontId="4" fillId="0" borderId="18" xfId="0" applyFont="1" applyBorder="1" applyAlignment="1"/>
    <xf numFmtId="0" fontId="4" fillId="0" borderId="48" xfId="0" applyFont="1" applyBorder="1" applyAlignment="1"/>
    <xf numFmtId="168" fontId="4" fillId="0" borderId="48" xfId="0" applyNumberFormat="1" applyFont="1" applyBorder="1" applyAlignment="1"/>
    <xf numFmtId="0" fontId="24" fillId="28" borderId="40" xfId="0" applyFont="1" applyFill="1" applyBorder="1" applyAlignment="1"/>
    <xf numFmtId="0" fontId="4" fillId="28" borderId="40" xfId="0" applyFont="1" applyFill="1" applyBorder="1" applyAlignment="1"/>
    <xf numFmtId="0" fontId="4" fillId="28" borderId="58" xfId="0" applyFont="1" applyFill="1" applyBorder="1" applyAlignment="1"/>
    <xf numFmtId="165" fontId="4" fillId="28" borderId="48" xfId="0" applyNumberFormat="1" applyFont="1" applyFill="1" applyBorder="1" applyAlignment="1"/>
    <xf numFmtId="0" fontId="24" fillId="28" borderId="17" xfId="0" applyFont="1" applyFill="1" applyBorder="1" applyAlignment="1">
      <alignment horizontal="right" vertical="center"/>
    </xf>
    <xf numFmtId="16" fontId="4" fillId="28" borderId="17" xfId="0" applyNumberFormat="1" applyFont="1" applyFill="1" applyBorder="1" applyAlignment="1"/>
    <xf numFmtId="16" fontId="4" fillId="0" borderId="17" xfId="0" applyNumberFormat="1" applyFont="1" applyBorder="1" applyAlignment="1"/>
    <xf numFmtId="0" fontId="4" fillId="0" borderId="0" xfId="0" applyFont="1" applyAlignment="1"/>
    <xf numFmtId="168" fontId="18" fillId="23" borderId="25" xfId="0" applyNumberFormat="1" applyFont="1" applyFill="1" applyBorder="1" applyAlignment="1"/>
    <xf numFmtId="168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/>
    </xf>
    <xf numFmtId="168" fontId="11" fillId="23" borderId="25" xfId="0" applyNumberFormat="1" applyFont="1" applyFill="1" applyBorder="1" applyAlignment="1"/>
    <xf numFmtId="0" fontId="4" fillId="0" borderId="0" xfId="0" applyFont="1" applyAlignment="1">
      <alignment horizontal="right" vertical="center"/>
    </xf>
    <xf numFmtId="168" fontId="28" fillId="0" borderId="0" xfId="0" applyNumberFormat="1" applyFont="1" applyAlignment="1"/>
    <xf numFmtId="168" fontId="28" fillId="0" borderId="0" xfId="0" applyNumberFormat="1" applyFont="1" applyAlignment="1">
      <alignment horizontal="right" vertical="center"/>
    </xf>
    <xf numFmtId="0" fontId="11" fillId="20" borderId="9" xfId="0" applyFont="1" applyFill="1" applyBorder="1" applyAlignment="1">
      <alignment horizontal="center"/>
    </xf>
    <xf numFmtId="16" fontId="4" fillId="28" borderId="10" xfId="0" applyNumberFormat="1" applyFont="1" applyFill="1" applyBorder="1" applyAlignment="1"/>
    <xf numFmtId="0" fontId="4" fillId="28" borderId="41" xfId="0" applyFont="1" applyFill="1" applyBorder="1" applyAlignment="1"/>
    <xf numFmtId="16" fontId="4" fillId="0" borderId="10" xfId="0" applyNumberFormat="1" applyFont="1" applyBorder="1" applyAlignment="1"/>
    <xf numFmtId="0" fontId="4" fillId="0" borderId="41" xfId="0" applyFont="1" applyBorder="1" applyAlignment="1"/>
    <xf numFmtId="0" fontId="4" fillId="0" borderId="60" xfId="0" applyFont="1" applyBorder="1" applyAlignment="1"/>
    <xf numFmtId="168" fontId="4" fillId="0" borderId="12" xfId="0" applyNumberFormat="1" applyFont="1" applyBorder="1" applyAlignment="1"/>
    <xf numFmtId="0" fontId="4" fillId="28" borderId="11" xfId="0" applyFont="1" applyFill="1" applyBorder="1" applyAlignment="1"/>
    <xf numFmtId="16" fontId="4" fillId="28" borderId="41" xfId="0" applyNumberFormat="1" applyFont="1" applyFill="1" applyBorder="1" applyAlignment="1"/>
    <xf numFmtId="0" fontId="4" fillId="28" borderId="60" xfId="0" applyFont="1" applyFill="1" applyBorder="1" applyAlignment="1"/>
    <xf numFmtId="165" fontId="4" fillId="28" borderId="47" xfId="0" applyNumberFormat="1" applyFont="1" applyFill="1" applyBorder="1" applyAlignment="1"/>
    <xf numFmtId="16" fontId="4" fillId="28" borderId="41" xfId="0" applyNumberFormat="1" applyFont="1" applyFill="1" applyBorder="1" applyAlignment="1">
      <alignment horizontal="right" vertical="center"/>
    </xf>
    <xf numFmtId="164" fontId="4" fillId="28" borderId="29" xfId="0" applyNumberFormat="1" applyFont="1" applyFill="1" applyBorder="1" applyAlignment="1"/>
    <xf numFmtId="168" fontId="4" fillId="0" borderId="21" xfId="0" applyNumberFormat="1" applyFont="1" applyBorder="1" applyAlignment="1">
      <alignment horizontal="center"/>
    </xf>
    <xf numFmtId="16" fontId="28" fillId="0" borderId="30" xfId="0" applyNumberFormat="1" applyFont="1" applyBorder="1" applyAlignment="1"/>
    <xf numFmtId="168" fontId="4" fillId="0" borderId="14" xfId="0" applyNumberFormat="1" applyFont="1" applyBorder="1" applyAlignment="1"/>
    <xf numFmtId="16" fontId="4" fillId="28" borderId="30" xfId="0" applyNumberFormat="1" applyFont="1" applyFill="1" applyBorder="1" applyAlignment="1">
      <alignment horizontal="right" vertical="center"/>
    </xf>
    <xf numFmtId="16" fontId="4" fillId="28" borderId="30" xfId="0" applyNumberFormat="1" applyFont="1" applyFill="1" applyBorder="1" applyAlignment="1"/>
    <xf numFmtId="0" fontId="28" fillId="0" borderId="30" xfId="0" applyFont="1" applyBorder="1" applyAlignment="1"/>
    <xf numFmtId="0" fontId="28" fillId="0" borderId="57" xfId="0" applyFont="1" applyBorder="1" applyAlignment="1"/>
    <xf numFmtId="168" fontId="11" fillId="0" borderId="21" xfId="0" applyNumberFormat="1" applyFont="1" applyBorder="1" applyAlignment="1">
      <alignment horizontal="center"/>
    </xf>
    <xf numFmtId="16" fontId="4" fillId="0" borderId="26" xfId="0" applyNumberFormat="1" applyFont="1" applyBorder="1" applyAlignment="1"/>
    <xf numFmtId="0" fontId="4" fillId="0" borderId="42" xfId="0" applyFont="1" applyBorder="1" applyAlignment="1"/>
    <xf numFmtId="0" fontId="4" fillId="0" borderId="61" xfId="0" applyFont="1" applyBorder="1" applyAlignment="1"/>
    <xf numFmtId="168" fontId="4" fillId="0" borderId="33" xfId="0" applyNumberFormat="1" applyFont="1" applyBorder="1" applyAlignment="1"/>
    <xf numFmtId="0" fontId="11" fillId="0" borderId="14" xfId="0" applyFont="1" applyBorder="1" applyAlignment="1"/>
    <xf numFmtId="168" fontId="11" fillId="0" borderId="14" xfId="0" applyNumberFormat="1" applyFont="1" applyBorder="1" applyAlignment="1"/>
    <xf numFmtId="16" fontId="4" fillId="28" borderId="26" xfId="0" applyNumberFormat="1" applyFont="1" applyFill="1" applyBorder="1" applyAlignment="1"/>
    <xf numFmtId="0" fontId="4" fillId="28" borderId="42" xfId="0" applyFont="1" applyFill="1" applyBorder="1" applyAlignment="1"/>
    <xf numFmtId="0" fontId="4" fillId="28" borderId="61" xfId="0" applyFont="1" applyFill="1" applyBorder="1" applyAlignment="1"/>
    <xf numFmtId="164" fontId="4" fillId="28" borderId="37" xfId="0" applyNumberFormat="1" applyFont="1" applyFill="1" applyBorder="1" applyAlignment="1"/>
    <xf numFmtId="168" fontId="24" fillId="0" borderId="21" xfId="0" applyNumberFormat="1" applyFont="1" applyBorder="1" applyAlignment="1"/>
    <xf numFmtId="16" fontId="34" fillId="28" borderId="13" xfId="0" applyNumberFormat="1" applyFont="1" applyFill="1" applyBorder="1" applyAlignment="1"/>
    <xf numFmtId="0" fontId="33" fillId="28" borderId="14" xfId="0" applyFont="1" applyFill="1" applyBorder="1" applyAlignment="1"/>
    <xf numFmtId="165" fontId="33" fillId="28" borderId="14" xfId="0" applyNumberFormat="1" applyFont="1" applyFill="1" applyBorder="1" applyAlignment="1"/>
    <xf numFmtId="16" fontId="4" fillId="28" borderId="13" xfId="0" applyNumberFormat="1" applyFont="1" applyFill="1" applyBorder="1" applyAlignment="1">
      <alignment horizontal="right" vertical="center"/>
    </xf>
    <xf numFmtId="16" fontId="4" fillId="28" borderId="42" xfId="0" applyNumberFormat="1" applyFont="1" applyFill="1" applyBorder="1" applyAlignment="1">
      <alignment horizontal="right" vertical="center"/>
    </xf>
    <xf numFmtId="0" fontId="4" fillId="0" borderId="26" xfId="0" applyFont="1" applyBorder="1" applyAlignment="1"/>
    <xf numFmtId="0" fontId="28" fillId="0" borderId="42" xfId="0" applyFont="1" applyBorder="1" applyAlignment="1"/>
    <xf numFmtId="0" fontId="28" fillId="0" borderId="61" xfId="0" applyFont="1" applyBorder="1" applyAlignment="1"/>
    <xf numFmtId="16" fontId="4" fillId="28" borderId="42" xfId="0" applyNumberFormat="1" applyFont="1" applyFill="1" applyBorder="1" applyAlignment="1"/>
    <xf numFmtId="16" fontId="33" fillId="0" borderId="26" xfId="0" applyNumberFormat="1" applyFont="1" applyBorder="1" applyAlignment="1"/>
    <xf numFmtId="0" fontId="33" fillId="0" borderId="42" xfId="0" applyFont="1" applyBorder="1" applyAlignment="1"/>
    <xf numFmtId="0" fontId="33" fillId="0" borderId="61" xfId="0" applyFont="1" applyBorder="1" applyAlignment="1"/>
    <xf numFmtId="168" fontId="33" fillId="0" borderId="33" xfId="0" applyNumberFormat="1" applyFont="1" applyBorder="1" applyAlignment="1"/>
    <xf numFmtId="0" fontId="4" fillId="28" borderId="26" xfId="0" applyFont="1" applyFill="1" applyBorder="1" applyAlignment="1"/>
    <xf numFmtId="168" fontId="33" fillId="0" borderId="21" xfId="0" applyNumberFormat="1" applyFont="1" applyBorder="1" applyAlignment="1">
      <alignment horizontal="center"/>
    </xf>
    <xf numFmtId="0" fontId="36" fillId="0" borderId="14" xfId="0" applyFont="1" applyBorder="1" applyAlignment="1"/>
    <xf numFmtId="0" fontId="11" fillId="28" borderId="14" xfId="0" applyFont="1" applyFill="1" applyBorder="1" applyAlignment="1"/>
    <xf numFmtId="0" fontId="4" fillId="28" borderId="42" xfId="0" applyFont="1" applyFill="1" applyBorder="1" applyAlignment="1">
      <alignment horizontal="right" vertical="center"/>
    </xf>
    <xf numFmtId="0" fontId="28" fillId="0" borderId="40" xfId="0" applyFont="1" applyBorder="1" applyAlignment="1"/>
    <xf numFmtId="0" fontId="28" fillId="0" borderId="58" xfId="0" applyFont="1" applyBorder="1" applyAlignment="1"/>
    <xf numFmtId="168" fontId="4" fillId="0" borderId="20" xfId="0" applyNumberFormat="1" applyFont="1" applyBorder="1" applyAlignment="1">
      <alignment horizontal="center"/>
    </xf>
    <xf numFmtId="0" fontId="4" fillId="28" borderId="17" xfId="0" applyFont="1" applyFill="1" applyBorder="1" applyAlignment="1"/>
    <xf numFmtId="0" fontId="28" fillId="0" borderId="18" xfId="0" applyFont="1" applyBorder="1" applyAlignment="1"/>
    <xf numFmtId="168" fontId="4" fillId="0" borderId="18" xfId="0" applyNumberFormat="1" applyFont="1" applyBorder="1" applyAlignment="1"/>
    <xf numFmtId="16" fontId="4" fillId="28" borderId="40" xfId="0" applyNumberFormat="1" applyFont="1" applyFill="1" applyBorder="1" applyAlignment="1"/>
    <xf numFmtId="0" fontId="4" fillId="28" borderId="40" xfId="0" applyFont="1" applyFill="1" applyBorder="1" applyAlignment="1">
      <alignment horizontal="right" vertical="center"/>
    </xf>
    <xf numFmtId="164" fontId="4" fillId="28" borderId="18" xfId="0" applyNumberFormat="1" applyFont="1" applyFill="1" applyBorder="1" applyAlignment="1"/>
    <xf numFmtId="0" fontId="28" fillId="0" borderId="0" xfId="0" applyFont="1" applyAlignment="1">
      <alignment horizontal="right"/>
    </xf>
    <xf numFmtId="168" fontId="28" fillId="0" borderId="0" xfId="0" applyNumberFormat="1" applyFont="1" applyAlignment="1">
      <alignment horizontal="right"/>
    </xf>
    <xf numFmtId="168" fontId="4" fillId="28" borderId="29" xfId="0" applyNumberFormat="1" applyFont="1" applyFill="1" applyBorder="1" applyAlignment="1"/>
    <xf numFmtId="0" fontId="4" fillId="28" borderId="13" xfId="0" applyFont="1" applyFill="1" applyBorder="1" applyAlignment="1">
      <alignment horizontal="right" vertical="center"/>
    </xf>
    <xf numFmtId="0" fontId="4" fillId="28" borderId="13" xfId="0" applyFont="1" applyFill="1" applyBorder="1" applyAlignment="1"/>
    <xf numFmtId="168" fontId="4" fillId="28" borderId="21" xfId="0" applyNumberFormat="1" applyFont="1" applyFill="1" applyBorder="1" applyAlignment="1"/>
    <xf numFmtId="165" fontId="4" fillId="28" borderId="21" xfId="0" applyNumberFormat="1" applyFont="1" applyFill="1" applyBorder="1" applyAlignment="1"/>
    <xf numFmtId="0" fontId="24" fillId="0" borderId="30" xfId="0" applyFont="1" applyBorder="1" applyAlignment="1"/>
    <xf numFmtId="0" fontId="24" fillId="0" borderId="57" xfId="0" applyFont="1" applyBorder="1" applyAlignment="1"/>
    <xf numFmtId="0" fontId="38" fillId="0" borderId="13" xfId="0" applyFont="1" applyBorder="1" applyAlignment="1"/>
    <xf numFmtId="0" fontId="38" fillId="0" borderId="14" xfId="0" applyFont="1" applyBorder="1" applyAlignment="1"/>
    <xf numFmtId="0" fontId="38" fillId="0" borderId="29" xfId="0" applyFont="1" applyBorder="1" applyAlignment="1"/>
    <xf numFmtId="168" fontId="38" fillId="0" borderId="21" xfId="0" applyNumberFormat="1" applyFont="1" applyBorder="1" applyAlignment="1"/>
    <xf numFmtId="0" fontId="28" fillId="0" borderId="13" xfId="0" applyFont="1" applyBorder="1" applyAlignment="1"/>
    <xf numFmtId="0" fontId="4" fillId="28" borderId="30" xfId="0" applyFont="1" applyFill="1" applyBorder="1" applyAlignment="1">
      <alignment horizontal="right" vertical="center"/>
    </xf>
    <xf numFmtId="164" fontId="4" fillId="28" borderId="48" xfId="0" applyNumberFormat="1" applyFont="1" applyFill="1" applyBorder="1" applyAlignment="1"/>
    <xf numFmtId="168" fontId="38" fillId="0" borderId="20" xfId="0" applyNumberFormat="1" applyFont="1" applyBorder="1" applyAlignment="1"/>
    <xf numFmtId="165" fontId="4" fillId="28" borderId="20" xfId="0" applyNumberFormat="1" applyFont="1" applyFill="1" applyBorder="1" applyAlignment="1"/>
    <xf numFmtId="168" fontId="25" fillId="23" borderId="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36" fillId="0" borderId="0" xfId="0" applyFont="1" applyAlignment="1"/>
    <xf numFmtId="0" fontId="40" fillId="0" borderId="0" xfId="0" applyFont="1" applyAlignment="1">
      <alignment vertical="center"/>
    </xf>
    <xf numFmtId="16" fontId="4" fillId="28" borderId="14" xfId="0" applyNumberFormat="1" applyFont="1" applyFill="1" applyBorder="1" applyAlignment="1"/>
    <xf numFmtId="164" fontId="4" fillId="28" borderId="14" xfId="0" applyNumberFormat="1" applyFont="1" applyFill="1" applyBorder="1" applyAlignment="1"/>
    <xf numFmtId="165" fontId="4" fillId="28" borderId="30" xfId="0" applyNumberFormat="1" applyFont="1" applyFill="1" applyBorder="1" applyAlignment="1">
      <alignment horizontal="center" vertical="center"/>
    </xf>
    <xf numFmtId="168" fontId="4" fillId="0" borderId="14" xfId="0" applyNumberFormat="1" applyFont="1" applyBorder="1" applyAlignment="1">
      <alignment horizontal="center"/>
    </xf>
    <xf numFmtId="168" fontId="11" fillId="0" borderId="14" xfId="0" applyNumberFormat="1" applyFont="1" applyBorder="1" applyAlignment="1">
      <alignment horizontal="center"/>
    </xf>
    <xf numFmtId="165" fontId="11" fillId="28" borderId="14" xfId="0" applyNumberFormat="1" applyFont="1" applyFill="1" applyBorder="1" applyAlignment="1"/>
    <xf numFmtId="164" fontId="32" fillId="28" borderId="14" xfId="0" applyNumberFormat="1" applyFont="1" applyFill="1" applyBorder="1" applyAlignment="1"/>
    <xf numFmtId="16" fontId="41" fillId="28" borderId="14" xfId="0" applyNumberFormat="1" applyFont="1" applyFill="1" applyBorder="1" applyAlignment="1"/>
    <xf numFmtId="0" fontId="41" fillId="28" borderId="14" xfId="0" applyFont="1" applyFill="1" applyBorder="1" applyAlignment="1"/>
    <xf numFmtId="164" fontId="41" fillId="28" borderId="14" xfId="0" applyNumberFormat="1" applyFont="1" applyFill="1" applyBorder="1" applyAlignment="1"/>
    <xf numFmtId="16" fontId="4" fillId="0" borderId="0" xfId="0" applyNumberFormat="1" applyFont="1" applyAlignment="1"/>
    <xf numFmtId="168" fontId="11" fillId="28" borderId="14" xfId="0" applyNumberFormat="1" applyFont="1" applyFill="1" applyBorder="1" applyAlignment="1"/>
    <xf numFmtId="168" fontId="32" fillId="0" borderId="14" xfId="0" applyNumberFormat="1" applyFont="1" applyBorder="1" applyAlignment="1"/>
    <xf numFmtId="168" fontId="32" fillId="0" borderId="14" xfId="0" applyNumberFormat="1" applyFont="1" applyBorder="1" applyAlignment="1">
      <alignment horizontal="center"/>
    </xf>
    <xf numFmtId="168" fontId="36" fillId="0" borderId="0" xfId="0" applyNumberFormat="1" applyFont="1" applyAlignment="1"/>
    <xf numFmtId="165" fontId="11" fillId="28" borderId="14" xfId="0" applyNumberFormat="1" applyFont="1" applyFill="1" applyBorder="1" applyAlignment="1">
      <alignment horizontal="center" vertical="center"/>
    </xf>
    <xf numFmtId="16" fontId="4" fillId="0" borderId="14" xfId="0" applyNumberFormat="1" applyFont="1" applyBorder="1" applyAlignment="1"/>
    <xf numFmtId="165" fontId="11" fillId="0" borderId="14" xfId="0" applyNumberFormat="1" applyFont="1" applyBorder="1" applyAlignment="1"/>
    <xf numFmtId="165" fontId="11" fillId="0" borderId="14" xfId="0" applyNumberFormat="1" applyFont="1" applyBorder="1" applyAlignment="1">
      <alignment horizontal="center"/>
    </xf>
    <xf numFmtId="165" fontId="11" fillId="7" borderId="14" xfId="0" applyNumberFormat="1" applyFont="1" applyFill="1" applyBorder="1" applyAlignment="1"/>
    <xf numFmtId="168" fontId="36" fillId="7" borderId="14" xfId="0" applyNumberFormat="1" applyFont="1" applyFill="1" applyBorder="1" applyAlignment="1"/>
    <xf numFmtId="0" fontId="28" fillId="0" borderId="14" xfId="0" applyFont="1" applyBorder="1" applyAlignment="1">
      <alignment horizontal="center"/>
    </xf>
    <xf numFmtId="168" fontId="36" fillId="0" borderId="14" xfId="0" applyNumberFormat="1" applyFont="1" applyBorder="1" applyAlignment="1"/>
    <xf numFmtId="0" fontId="32" fillId="0" borderId="14" xfId="0" applyFont="1" applyBorder="1" applyAlignment="1"/>
    <xf numFmtId="165" fontId="32" fillId="0" borderId="14" xfId="0" applyNumberFormat="1" applyFont="1" applyBorder="1" applyAlignment="1"/>
    <xf numFmtId="165" fontId="42" fillId="4" borderId="0" xfId="0" applyNumberFormat="1" applyFont="1" applyFill="1" applyAlignment="1"/>
    <xf numFmtId="165" fontId="28" fillId="0" borderId="0" xfId="0" applyNumberFormat="1" applyFont="1" applyAlignment="1"/>
    <xf numFmtId="165" fontId="36" fillId="20" borderId="0" xfId="0" applyNumberFormat="1" applyFont="1" applyFill="1" applyAlignment="1"/>
    <xf numFmtId="165" fontId="42" fillId="2" borderId="0" xfId="0" applyNumberFormat="1" applyFont="1" applyFill="1" applyAlignment="1"/>
    <xf numFmtId="0" fontId="3" fillId="0" borderId="0" xfId="4"/>
    <xf numFmtId="0" fontId="3" fillId="0" borderId="0" xfId="4" applyAlignment="1">
      <alignment horizontal="center" vertical="center"/>
    </xf>
    <xf numFmtId="0" fontId="3" fillId="0" borderId="0" xfId="4" applyAlignment="1">
      <alignment horizontal="center"/>
    </xf>
    <xf numFmtId="165" fontId="15" fillId="0" borderId="0" xfId="4" applyNumberFormat="1" applyFont="1"/>
    <xf numFmtId="0" fontId="4" fillId="11" borderId="14" xfId="4" applyFont="1" applyFill="1" applyBorder="1" applyAlignment="1" applyProtection="1">
      <alignment horizontal="left" vertical="center"/>
      <protection locked="0"/>
    </xf>
    <xf numFmtId="0" fontId="3" fillId="0" borderId="14" xfId="4" applyBorder="1"/>
    <xf numFmtId="165" fontId="24" fillId="0" borderId="14" xfId="4" applyNumberFormat="1" applyFont="1" applyBorder="1"/>
    <xf numFmtId="0" fontId="3" fillId="0" borderId="64" xfId="4" applyBorder="1"/>
    <xf numFmtId="165" fontId="24" fillId="0" borderId="6" xfId="4" applyNumberFormat="1" applyFont="1" applyBorder="1"/>
    <xf numFmtId="0" fontId="3" fillId="0" borderId="65" xfId="4" applyBorder="1"/>
    <xf numFmtId="0" fontId="3" fillId="0" borderId="66" xfId="4" applyBorder="1"/>
    <xf numFmtId="0" fontId="3" fillId="0" borderId="15" xfId="4" applyBorder="1"/>
    <xf numFmtId="165" fontId="44" fillId="11" borderId="14" xfId="4" applyNumberFormat="1" applyFont="1" applyFill="1" applyBorder="1"/>
    <xf numFmtId="165" fontId="44" fillId="11" borderId="21" xfId="4" applyNumberFormat="1" applyFont="1" applyFill="1" applyBorder="1"/>
    <xf numFmtId="0" fontId="4" fillId="24" borderId="14" xfId="4" applyFont="1" applyFill="1" applyBorder="1" applyAlignment="1" applyProtection="1">
      <alignment horizontal="left" vertical="center"/>
      <protection locked="0"/>
    </xf>
    <xf numFmtId="165" fontId="24" fillId="0" borderId="0" xfId="4" applyNumberFormat="1" applyFont="1"/>
    <xf numFmtId="165" fontId="45" fillId="0" borderId="15" xfId="4" applyNumberFormat="1" applyFont="1" applyBorder="1"/>
    <xf numFmtId="0" fontId="4" fillId="24" borderId="27" xfId="4" applyFont="1" applyFill="1" applyBorder="1" applyAlignment="1" applyProtection="1">
      <alignment horizontal="left" vertical="center"/>
      <protection locked="0"/>
    </xf>
    <xf numFmtId="165" fontId="4" fillId="29" borderId="14" xfId="0" applyNumberFormat="1" applyFont="1" applyFill="1" applyBorder="1" applyAlignment="1" applyProtection="1">
      <alignment horizontal="left" vertical="center"/>
      <protection locked="0"/>
    </xf>
    <xf numFmtId="165" fontId="15" fillId="2" borderId="47" xfId="4" applyNumberFormat="1" applyFont="1" applyFill="1" applyBorder="1"/>
    <xf numFmtId="165" fontId="15" fillId="2" borderId="12" xfId="4" applyNumberFormat="1" applyFont="1" applyFill="1" applyBorder="1"/>
    <xf numFmtId="165" fontId="46" fillId="0" borderId="0" xfId="4" applyNumberFormat="1" applyFont="1"/>
    <xf numFmtId="165" fontId="46" fillId="0" borderId="66" xfId="4" applyNumberFormat="1" applyFont="1" applyBorder="1"/>
    <xf numFmtId="165" fontId="47" fillId="0" borderId="14" xfId="4" applyNumberFormat="1" applyFont="1" applyBorder="1"/>
    <xf numFmtId="165" fontId="46" fillId="0" borderId="15" xfId="4" applyNumberFormat="1" applyFont="1" applyBorder="1"/>
    <xf numFmtId="0" fontId="4" fillId="32" borderId="1" xfId="4" applyFont="1" applyFill="1" applyBorder="1" applyAlignment="1" applyProtection="1">
      <alignment horizontal="center" vertical="center"/>
      <protection locked="0"/>
    </xf>
    <xf numFmtId="0" fontId="4" fillId="32" borderId="2" xfId="4" applyFont="1" applyFill="1" applyBorder="1" applyAlignment="1" applyProtection="1">
      <alignment horizontal="center" vertical="center"/>
      <protection locked="0"/>
    </xf>
    <xf numFmtId="0" fontId="4" fillId="11" borderId="2" xfId="4" applyFont="1" applyFill="1" applyBorder="1" applyAlignment="1" applyProtection="1">
      <alignment horizontal="center" vertical="center"/>
      <protection locked="0"/>
    </xf>
    <xf numFmtId="0" fontId="4" fillId="32" borderId="4" xfId="4" applyFont="1" applyFill="1" applyBorder="1" applyAlignment="1" applyProtection="1">
      <alignment horizontal="center" vertical="center"/>
      <protection locked="0"/>
    </xf>
    <xf numFmtId="0" fontId="4" fillId="0" borderId="0" xfId="4" applyFont="1" applyAlignment="1" applyProtection="1">
      <alignment horizontal="center" vertical="center"/>
      <protection locked="0"/>
    </xf>
    <xf numFmtId="0" fontId="4" fillId="16" borderId="67" xfId="4" applyFont="1" applyFill="1" applyBorder="1" applyAlignment="1" applyProtection="1">
      <alignment horizontal="center" vertical="center"/>
      <protection locked="0"/>
    </xf>
    <xf numFmtId="0" fontId="4" fillId="32" borderId="68" xfId="4" applyFont="1" applyFill="1" applyBorder="1" applyAlignment="1" applyProtection="1">
      <alignment horizontal="center" vertical="center"/>
      <protection locked="0"/>
    </xf>
    <xf numFmtId="0" fontId="4" fillId="0" borderId="15" xfId="4" applyFont="1" applyBorder="1" applyAlignment="1" applyProtection="1">
      <alignment horizontal="center" vertical="center"/>
      <protection locked="0"/>
    </xf>
    <xf numFmtId="0" fontId="4" fillId="24" borderId="5" xfId="4" applyFont="1" applyFill="1" applyBorder="1" applyAlignment="1" applyProtection="1">
      <alignment horizontal="left" vertical="center"/>
      <protection locked="0"/>
    </xf>
    <xf numFmtId="0" fontId="4" fillId="23" borderId="6" xfId="4" applyFont="1" applyFill="1" applyBorder="1" applyAlignment="1" applyProtection="1">
      <alignment horizontal="center" vertical="center"/>
      <protection locked="0"/>
    </xf>
    <xf numFmtId="0" fontId="24" fillId="0" borderId="6" xfId="4" applyFont="1" applyBorder="1"/>
    <xf numFmtId="165" fontId="24" fillId="0" borderId="9" xfId="4" applyNumberFormat="1" applyFont="1" applyBorder="1"/>
    <xf numFmtId="165" fontId="24" fillId="0" borderId="0" xfId="4" applyNumberFormat="1" applyFont="1" applyAlignment="1">
      <alignment horizontal="right"/>
    </xf>
    <xf numFmtId="0" fontId="4" fillId="0" borderId="5" xfId="4" applyFont="1" applyBorder="1" applyAlignment="1" applyProtection="1">
      <alignment horizontal="center" vertical="center"/>
      <protection locked="0"/>
    </xf>
    <xf numFmtId="165" fontId="24" fillId="0" borderId="15" xfId="4" applyNumberFormat="1" applyFont="1" applyBorder="1"/>
    <xf numFmtId="0" fontId="4" fillId="24" borderId="10" xfId="4" applyFont="1" applyFill="1" applyBorder="1" applyAlignment="1" applyProtection="1">
      <alignment horizontal="left" vertical="center"/>
      <protection locked="0"/>
    </xf>
    <xf numFmtId="0" fontId="4" fillId="23" borderId="11" xfId="4" applyFont="1" applyFill="1" applyBorder="1" applyAlignment="1" applyProtection="1">
      <alignment horizontal="center" vertical="center"/>
      <protection locked="0"/>
    </xf>
    <xf numFmtId="165" fontId="24" fillId="0" borderId="11" xfId="4" applyNumberFormat="1" applyFont="1" applyBorder="1"/>
    <xf numFmtId="0" fontId="24" fillId="0" borderId="11" xfId="4" applyFont="1" applyBorder="1"/>
    <xf numFmtId="165" fontId="24" fillId="0" borderId="21" xfId="4" applyNumberFormat="1" applyFont="1" applyBorder="1"/>
    <xf numFmtId="0" fontId="4" fillId="0" borderId="13" xfId="4" applyFont="1" applyBorder="1" applyAlignment="1" applyProtection="1">
      <alignment horizontal="center" vertical="center"/>
      <protection locked="0"/>
    </xf>
    <xf numFmtId="0" fontId="4" fillId="24" borderId="13" xfId="4" applyFont="1" applyFill="1" applyBorder="1" applyAlignment="1" applyProtection="1">
      <alignment horizontal="left" vertical="center"/>
      <protection locked="0"/>
    </xf>
    <xf numFmtId="0" fontId="4" fillId="23" borderId="14" xfId="4" applyFont="1" applyFill="1" applyBorder="1" applyAlignment="1" applyProtection="1">
      <alignment horizontal="center" vertical="center"/>
      <protection locked="0"/>
    </xf>
    <xf numFmtId="0" fontId="24" fillId="0" borderId="14" xfId="4" applyFont="1" applyBorder="1"/>
    <xf numFmtId="0" fontId="4" fillId="10" borderId="13" xfId="4" applyFont="1" applyFill="1" applyBorder="1" applyAlignment="1" applyProtection="1">
      <alignment horizontal="center" vertical="center"/>
      <protection locked="0"/>
    </xf>
    <xf numFmtId="0" fontId="10" fillId="8" borderId="13" xfId="4" applyFont="1" applyFill="1" applyBorder="1" applyAlignment="1" applyProtection="1">
      <alignment horizontal="left" vertical="center"/>
      <protection locked="0"/>
    </xf>
    <xf numFmtId="0" fontId="4" fillId="11" borderId="13" xfId="4" applyFont="1" applyFill="1" applyBorder="1" applyAlignment="1" applyProtection="1">
      <alignment horizontal="left" vertical="center"/>
      <protection locked="0"/>
    </xf>
    <xf numFmtId="0" fontId="4" fillId="29" borderId="13" xfId="4" applyFont="1" applyFill="1" applyBorder="1" applyAlignment="1" applyProtection="1">
      <alignment horizontal="left" vertical="center"/>
      <protection locked="0"/>
    </xf>
    <xf numFmtId="0" fontId="4" fillId="20" borderId="14" xfId="4" applyFont="1" applyFill="1" applyBorder="1" applyAlignment="1" applyProtection="1">
      <alignment horizontal="center" vertical="center"/>
      <protection locked="0"/>
    </xf>
    <xf numFmtId="0" fontId="4" fillId="3" borderId="13" xfId="4" applyFont="1" applyFill="1" applyBorder="1" applyAlignment="1" applyProtection="1">
      <alignment horizontal="left" vertical="center"/>
      <protection locked="0"/>
    </xf>
    <xf numFmtId="0" fontId="4" fillId="20" borderId="27" xfId="4" applyFont="1" applyFill="1" applyBorder="1" applyAlignment="1" applyProtection="1">
      <alignment horizontal="center" vertical="center"/>
      <protection locked="0"/>
    </xf>
    <xf numFmtId="165" fontId="24" fillId="0" borderId="27" xfId="4" applyNumberFormat="1" applyFont="1" applyBorder="1"/>
    <xf numFmtId="0" fontId="24" fillId="0" borderId="27" xfId="4" applyFont="1" applyBorder="1"/>
    <xf numFmtId="165" fontId="24" fillId="0" borderId="33" xfId="4" applyNumberFormat="1" applyFont="1" applyBorder="1"/>
    <xf numFmtId="165" fontId="4" fillId="29" borderId="14" xfId="0" applyNumberFormat="1" applyFont="1" applyFill="1" applyBorder="1" applyAlignment="1" applyProtection="1">
      <alignment horizontal="center" vertical="center"/>
      <protection locked="0"/>
    </xf>
    <xf numFmtId="0" fontId="4" fillId="0" borderId="26" xfId="4" applyFont="1" applyBorder="1" applyAlignment="1" applyProtection="1">
      <alignment horizontal="center" vertical="center"/>
      <protection locked="0"/>
    </xf>
    <xf numFmtId="0" fontId="4" fillId="24" borderId="17" xfId="4" applyFont="1" applyFill="1" applyBorder="1" applyAlignment="1" applyProtection="1">
      <alignment horizontal="left" vertical="center"/>
      <protection locked="0"/>
    </xf>
    <xf numFmtId="164" fontId="4" fillId="4" borderId="18" xfId="0" applyNumberFormat="1" applyFont="1" applyFill="1" applyBorder="1" applyAlignment="1" applyProtection="1">
      <alignment horizontal="center" vertical="center"/>
      <protection locked="0"/>
    </xf>
    <xf numFmtId="165" fontId="24" fillId="0" borderId="18" xfId="4" applyNumberFormat="1" applyFont="1" applyBorder="1"/>
    <xf numFmtId="0" fontId="24" fillId="0" borderId="18" xfId="4" applyFont="1" applyBorder="1"/>
    <xf numFmtId="165" fontId="24" fillId="0" borderId="20" xfId="4" applyNumberFormat="1" applyFont="1" applyBorder="1"/>
    <xf numFmtId="0" fontId="4" fillId="0" borderId="17" xfId="4" applyFont="1" applyBorder="1" applyAlignment="1" applyProtection="1">
      <alignment horizontal="center" vertical="center"/>
      <protection locked="0"/>
    </xf>
    <xf numFmtId="0" fontId="24" fillId="0" borderId="0" xfId="4" applyFont="1"/>
    <xf numFmtId="0" fontId="3" fillId="0" borderId="69" xfId="4" applyBorder="1"/>
    <xf numFmtId="165" fontId="15" fillId="2" borderId="70" xfId="4" applyNumberFormat="1" applyFont="1" applyFill="1" applyBorder="1"/>
    <xf numFmtId="165" fontId="15" fillId="0" borderId="28" xfId="4" applyNumberFormat="1" applyFont="1" applyBorder="1"/>
    <xf numFmtId="165" fontId="15" fillId="2" borderId="23" xfId="4" applyNumberFormat="1" applyFont="1" applyFill="1" applyBorder="1"/>
    <xf numFmtId="0" fontId="3" fillId="0" borderId="28" xfId="4" applyBorder="1"/>
    <xf numFmtId="0" fontId="4" fillId="32" borderId="3" xfId="4" applyFont="1" applyFill="1" applyBorder="1" applyAlignment="1" applyProtection="1">
      <alignment horizontal="center" vertical="center"/>
      <protection locked="0"/>
    </xf>
    <xf numFmtId="0" fontId="4" fillId="32" borderId="3" xfId="4" applyFont="1" applyFill="1" applyBorder="1" applyAlignment="1" applyProtection="1">
      <alignment horizontal="left" vertical="center"/>
      <protection locked="0"/>
    </xf>
    <xf numFmtId="0" fontId="3" fillId="0" borderId="45" xfId="4" applyBorder="1" applyAlignment="1">
      <alignment horizontal="center" vertical="center"/>
    </xf>
    <xf numFmtId="0" fontId="3" fillId="0" borderId="2" xfId="4" applyBorder="1" applyAlignment="1">
      <alignment horizontal="center" vertical="center"/>
    </xf>
    <xf numFmtId="0" fontId="3" fillId="0" borderId="4" xfId="4" applyBorder="1" applyAlignment="1">
      <alignment horizontal="center" vertical="center"/>
    </xf>
    <xf numFmtId="0" fontId="4" fillId="16" borderId="34" xfId="4" applyFont="1" applyFill="1" applyBorder="1" applyAlignment="1" applyProtection="1">
      <alignment horizontal="left" vertical="center"/>
      <protection locked="0"/>
    </xf>
    <xf numFmtId="165" fontId="24" fillId="15" borderId="5" xfId="4" applyNumberFormat="1" applyFont="1" applyFill="1" applyBorder="1"/>
    <xf numFmtId="165" fontId="24" fillId="15" borderId="6" xfId="4" applyNumberFormat="1" applyFont="1" applyFill="1" applyBorder="1"/>
    <xf numFmtId="165" fontId="24" fillId="15" borderId="9" xfId="4" applyNumberFormat="1" applyFont="1" applyFill="1" applyBorder="1"/>
    <xf numFmtId="165" fontId="3" fillId="16" borderId="52" xfId="4" applyNumberFormat="1" applyFill="1" applyBorder="1"/>
    <xf numFmtId="165" fontId="24" fillId="14" borderId="13" xfId="4" applyNumberFormat="1" applyFont="1" applyFill="1" applyBorder="1"/>
    <xf numFmtId="165" fontId="24" fillId="14" borderId="14" xfId="4" applyNumberFormat="1" applyFont="1" applyFill="1" applyBorder="1"/>
    <xf numFmtId="165" fontId="24" fillId="14" borderId="21" xfId="4" applyNumberFormat="1" applyFont="1" applyFill="1" applyBorder="1"/>
    <xf numFmtId="165" fontId="3" fillId="0" borderId="55" xfId="4" applyNumberFormat="1" applyBorder="1"/>
    <xf numFmtId="165" fontId="3" fillId="0" borderId="0" xfId="4" applyNumberFormat="1"/>
    <xf numFmtId="0" fontId="4" fillId="34" borderId="35" xfId="4" applyFont="1" applyFill="1" applyBorder="1" applyAlignment="1" applyProtection="1">
      <alignment horizontal="left" vertical="center"/>
      <protection locked="0"/>
    </xf>
    <xf numFmtId="165" fontId="24" fillId="6" borderId="13" xfId="4" applyNumberFormat="1" applyFont="1" applyFill="1" applyBorder="1"/>
    <xf numFmtId="165" fontId="24" fillId="6" borderId="14" xfId="4" applyNumberFormat="1" applyFont="1" applyFill="1" applyBorder="1"/>
    <xf numFmtId="165" fontId="24" fillId="6" borderId="21" xfId="4" applyNumberFormat="1" applyFont="1" applyFill="1" applyBorder="1"/>
    <xf numFmtId="165" fontId="24" fillId="0" borderId="44" xfId="4" applyNumberFormat="1" applyFont="1" applyBorder="1" applyAlignment="1">
      <alignment horizontal="left"/>
    </xf>
    <xf numFmtId="165" fontId="24" fillId="0" borderId="17" xfId="4" applyNumberFormat="1" applyFont="1" applyBorder="1"/>
    <xf numFmtId="165" fontId="24" fillId="0" borderId="40" xfId="4" applyNumberFormat="1" applyFont="1" applyBorder="1"/>
    <xf numFmtId="165" fontId="24" fillId="0" borderId="54" xfId="4" applyNumberFormat="1" applyFont="1" applyBorder="1"/>
    <xf numFmtId="165" fontId="3" fillId="29" borderId="54" xfId="4" applyNumberFormat="1" applyFill="1" applyBorder="1"/>
    <xf numFmtId="0" fontId="4" fillId="16" borderId="8" xfId="4" applyFont="1" applyFill="1" applyBorder="1" applyAlignment="1" applyProtection="1">
      <alignment horizontal="left" vertical="center"/>
      <protection locked="0"/>
    </xf>
    <xf numFmtId="165" fontId="3" fillId="16" borderId="8" xfId="4" applyNumberFormat="1" applyFill="1" applyBorder="1"/>
    <xf numFmtId="0" fontId="4" fillId="29" borderId="16" xfId="4" applyFont="1" applyFill="1" applyBorder="1" applyAlignment="1" applyProtection="1">
      <alignment horizontal="left" vertical="center"/>
      <protection locked="0"/>
    </xf>
    <xf numFmtId="165" fontId="3" fillId="0" borderId="16" xfId="4" applyNumberFormat="1" applyBorder="1"/>
    <xf numFmtId="165" fontId="24" fillId="0" borderId="19" xfId="4" applyNumberFormat="1" applyFont="1" applyBorder="1" applyAlignment="1">
      <alignment horizontal="left"/>
    </xf>
    <xf numFmtId="165" fontId="3" fillId="29" borderId="19" xfId="4" applyNumberFormat="1" applyFill="1" applyBorder="1"/>
    <xf numFmtId="165" fontId="24" fillId="15" borderId="38" xfId="4" applyNumberFormat="1" applyFont="1" applyFill="1" applyBorder="1"/>
    <xf numFmtId="0" fontId="4" fillId="34" borderId="16" xfId="4" applyFont="1" applyFill="1" applyBorder="1" applyAlignment="1" applyProtection="1">
      <alignment horizontal="left" vertical="center"/>
      <protection locked="0"/>
    </xf>
    <xf numFmtId="165" fontId="24" fillId="6" borderId="42" xfId="4" applyNumberFormat="1" applyFont="1" applyFill="1" applyBorder="1"/>
    <xf numFmtId="165" fontId="24" fillId="6" borderId="71" xfId="4" applyNumberFormat="1" applyFont="1" applyFill="1" applyBorder="1"/>
    <xf numFmtId="165" fontId="24" fillId="0" borderId="0" xfId="4" applyNumberFormat="1" applyFont="1" applyAlignment="1">
      <alignment horizontal="left"/>
    </xf>
    <xf numFmtId="0" fontId="4" fillId="16" borderId="3" xfId="4" applyFont="1" applyFill="1" applyBorder="1" applyAlignment="1" applyProtection="1">
      <alignment vertical="center"/>
      <protection locked="0"/>
    </xf>
    <xf numFmtId="0" fontId="4" fillId="32" borderId="8" xfId="4" applyFont="1" applyFill="1" applyBorder="1" applyAlignment="1" applyProtection="1">
      <alignment horizontal="left" vertical="center"/>
      <protection locked="0"/>
    </xf>
    <xf numFmtId="165" fontId="24" fillId="0" borderId="38" xfId="4" applyNumberFormat="1" applyFont="1" applyBorder="1"/>
    <xf numFmtId="165" fontId="24" fillId="0" borderId="52" xfId="4" applyNumberFormat="1" applyFont="1" applyBorder="1"/>
    <xf numFmtId="0" fontId="4" fillId="32" borderId="16" xfId="4" applyFont="1" applyFill="1" applyBorder="1" applyAlignment="1" applyProtection="1">
      <alignment horizontal="left" vertical="center"/>
      <protection locked="0"/>
    </xf>
    <xf numFmtId="165" fontId="24" fillId="10" borderId="30" xfId="4" applyNumberFormat="1" applyFont="1" applyFill="1" applyBorder="1"/>
    <xf numFmtId="165" fontId="24" fillId="10" borderId="55" xfId="4" applyNumberFormat="1" applyFont="1" applyFill="1" applyBorder="1"/>
    <xf numFmtId="165" fontId="24" fillId="0" borderId="30" xfId="4" applyNumberFormat="1" applyFont="1" applyBorder="1"/>
    <xf numFmtId="165" fontId="24" fillId="0" borderId="55" xfId="4" applyNumberFormat="1" applyFont="1" applyBorder="1"/>
    <xf numFmtId="0" fontId="4" fillId="32" borderId="19" xfId="4" applyFont="1" applyFill="1" applyBorder="1" applyAlignment="1" applyProtection="1">
      <alignment horizontal="left" vertical="center"/>
      <protection locked="0"/>
    </xf>
    <xf numFmtId="165" fontId="24" fillId="10" borderId="40" xfId="4" applyNumberFormat="1" applyFont="1" applyFill="1" applyBorder="1"/>
    <xf numFmtId="165" fontId="24" fillId="10" borderId="54" xfId="4" applyNumberFormat="1" applyFont="1" applyFill="1" applyBorder="1"/>
    <xf numFmtId="0" fontId="48" fillId="15" borderId="30" xfId="4" applyFont="1" applyFill="1" applyBorder="1" applyAlignment="1">
      <alignment horizontal="center" vertical="center"/>
    </xf>
    <xf numFmtId="0" fontId="48" fillId="15" borderId="27" xfId="4" applyFont="1" applyFill="1" applyBorder="1" applyAlignment="1">
      <alignment horizontal="center" vertical="center"/>
    </xf>
    <xf numFmtId="0" fontId="48" fillId="15" borderId="14" xfId="4" applyFont="1" applyFill="1" applyBorder="1" applyAlignment="1">
      <alignment horizontal="center" vertical="center"/>
    </xf>
    <xf numFmtId="165" fontId="48" fillId="0" borderId="14" xfId="4" applyNumberFormat="1" applyFont="1" applyBorder="1"/>
    <xf numFmtId="165" fontId="34" fillId="0" borderId="14" xfId="4" applyNumberFormat="1" applyFont="1" applyBorder="1"/>
    <xf numFmtId="0" fontId="48" fillId="0" borderId="14" xfId="4" applyFont="1" applyBorder="1"/>
    <xf numFmtId="1" fontId="48" fillId="0" borderId="14" xfId="4" applyNumberFormat="1" applyFont="1" applyBorder="1" applyAlignment="1">
      <alignment horizontal="center" vertical="center"/>
    </xf>
    <xf numFmtId="0" fontId="48" fillId="0" borderId="0" xfId="4" applyFont="1"/>
    <xf numFmtId="0" fontId="48" fillId="0" borderId="27" xfId="4" applyFont="1" applyBorder="1" applyAlignment="1">
      <alignment horizontal="center" vertical="center"/>
    </xf>
    <xf numFmtId="165" fontId="35" fillId="0" borderId="3" xfId="4" applyNumberFormat="1" applyFont="1" applyBorder="1"/>
    <xf numFmtId="165" fontId="35" fillId="15" borderId="3" xfId="4" applyNumberFormat="1" applyFont="1" applyFill="1" applyBorder="1"/>
    <xf numFmtId="0" fontId="49" fillId="0" borderId="0" xfId="4" applyFo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64" xfId="0" applyBorder="1" applyAlignment="1"/>
    <xf numFmtId="0" fontId="0" fillId="0" borderId="72" xfId="0" applyBorder="1" applyAlignment="1"/>
    <xf numFmtId="0" fontId="0" fillId="0" borderId="65" xfId="0" applyBorder="1" applyAlignment="1"/>
    <xf numFmtId="0" fontId="0" fillId="0" borderId="47" xfId="0" applyBorder="1" applyAlignment="1"/>
    <xf numFmtId="167" fontId="51" fillId="0" borderId="5" xfId="0" applyNumberFormat="1" applyFont="1" applyBorder="1" applyAlignment="1">
      <alignment horizontal="right" vertical="center"/>
    </xf>
    <xf numFmtId="167" fontId="51" fillId="0" borderId="9" xfId="0" applyNumberFormat="1" applyFont="1" applyBorder="1" applyAlignment="1">
      <alignment horizontal="right" vertical="center"/>
    </xf>
    <xf numFmtId="167" fontId="51" fillId="0" borderId="0" xfId="0" applyNumberFormat="1" applyFont="1" applyAlignment="1">
      <alignment horizontal="right" vertical="center"/>
    </xf>
    <xf numFmtId="0" fontId="0" fillId="0" borderId="29" xfId="0" applyBorder="1" applyAlignment="1"/>
    <xf numFmtId="165" fontId="51" fillId="35" borderId="14" xfId="0" applyNumberFormat="1" applyFont="1" applyFill="1" applyBorder="1" applyAlignment="1">
      <alignment horizontal="right" vertical="center"/>
    </xf>
    <xf numFmtId="165" fontId="51" fillId="10" borderId="14" xfId="0" applyNumberFormat="1" applyFont="1" applyFill="1" applyBorder="1" applyAlignment="1">
      <alignment horizontal="right" vertical="center"/>
    </xf>
    <xf numFmtId="165" fontId="51" fillId="25" borderId="14" xfId="0" applyNumberFormat="1" applyFont="1" applyFill="1" applyBorder="1" applyAlignment="1">
      <alignment horizontal="right" vertical="center"/>
    </xf>
    <xf numFmtId="167" fontId="51" fillId="14" borderId="29" xfId="0" applyNumberFormat="1" applyFont="1" applyFill="1" applyBorder="1" applyAlignment="1">
      <alignment horizontal="right" vertical="center"/>
    </xf>
    <xf numFmtId="167" fontId="51" fillId="0" borderId="13" xfId="0" applyNumberFormat="1" applyFont="1" applyBorder="1" applyAlignment="1">
      <alignment horizontal="right" vertical="center"/>
    </xf>
    <xf numFmtId="167" fontId="51" fillId="0" borderId="21" xfId="0" applyNumberFormat="1" applyFont="1" applyBorder="1" applyAlignment="1">
      <alignment horizontal="right" vertical="center"/>
    </xf>
    <xf numFmtId="0" fontId="53" fillId="0" borderId="72" xfId="0" applyFont="1" applyBorder="1" applyAlignment="1"/>
    <xf numFmtId="0" fontId="53" fillId="0" borderId="65" xfId="0" applyFont="1" applyBorder="1" applyAlignment="1"/>
    <xf numFmtId="0" fontId="0" fillId="0" borderId="66" xfId="0" applyBorder="1" applyAlignment="1"/>
    <xf numFmtId="0" fontId="53" fillId="0" borderId="0" xfId="0" applyFont="1" applyAlignment="1"/>
    <xf numFmtId="167" fontId="0" fillId="0" borderId="0" xfId="0" applyNumberFormat="1" applyAlignment="1"/>
    <xf numFmtId="0" fontId="0" fillId="0" borderId="15" xfId="0" applyBorder="1" applyAlignment="1"/>
    <xf numFmtId="0" fontId="0" fillId="0" borderId="0" xfId="0" applyAlignment="1">
      <alignment horizontal="right"/>
    </xf>
    <xf numFmtId="167" fontId="51" fillId="25" borderId="14" xfId="0" applyNumberFormat="1" applyFont="1" applyFill="1" applyBorder="1" applyAlignment="1">
      <alignment horizontal="right" vertical="center"/>
    </xf>
    <xf numFmtId="167" fontId="51" fillId="35" borderId="29" xfId="0" applyNumberFormat="1" applyFont="1" applyFill="1" applyBorder="1" applyAlignment="1">
      <alignment horizontal="right" vertical="center"/>
    </xf>
    <xf numFmtId="167" fontId="51" fillId="25" borderId="13" xfId="0" applyNumberFormat="1" applyFont="1" applyFill="1" applyBorder="1" applyAlignment="1">
      <alignment horizontal="right" vertical="center"/>
    </xf>
    <xf numFmtId="167" fontId="51" fillId="25" borderId="21" xfId="0" applyNumberFormat="1" applyFont="1" applyFill="1" applyBorder="1" applyAlignment="1">
      <alignment horizontal="right" vertical="center"/>
    </xf>
    <xf numFmtId="167" fontId="0" fillId="0" borderId="15" xfId="0" applyNumberFormat="1" applyBorder="1" applyAlignment="1"/>
    <xf numFmtId="0" fontId="50" fillId="0" borderId="0" xfId="0" applyFont="1" applyAlignment="1"/>
    <xf numFmtId="167" fontId="50" fillId="0" borderId="0" xfId="0" applyNumberFormat="1" applyFont="1" applyAlignment="1"/>
    <xf numFmtId="167" fontId="50" fillId="0" borderId="15" xfId="0" applyNumberFormat="1" applyFont="1" applyBorder="1" applyAlignment="1"/>
    <xf numFmtId="167" fontId="54" fillId="0" borderId="0" xfId="0" applyNumberFormat="1" applyFont="1" applyAlignment="1">
      <alignment horizontal="right" vertical="center"/>
    </xf>
    <xf numFmtId="0" fontId="0" fillId="0" borderId="7" xfId="0" applyBorder="1" applyAlignment="1"/>
    <xf numFmtId="165" fontId="51" fillId="25" borderId="6" xfId="0" applyNumberFormat="1" applyFont="1" applyFill="1" applyBorder="1" applyAlignment="1">
      <alignment horizontal="right" vertical="center"/>
    </xf>
    <xf numFmtId="167" fontId="51" fillId="35" borderId="7" xfId="0" applyNumberFormat="1" applyFont="1" applyFill="1" applyBorder="1" applyAlignment="1">
      <alignment horizontal="right" vertical="center"/>
    </xf>
    <xf numFmtId="167" fontId="51" fillId="25" borderId="5" xfId="0" applyNumberFormat="1" applyFont="1" applyFill="1" applyBorder="1" applyAlignment="1">
      <alignment horizontal="right" vertical="center"/>
    </xf>
    <xf numFmtId="167" fontId="51" fillId="25" borderId="9" xfId="0" applyNumberFormat="1" applyFont="1" applyFill="1" applyBorder="1" applyAlignment="1">
      <alignment horizontal="right" vertical="center"/>
    </xf>
    <xf numFmtId="0" fontId="53" fillId="0" borderId="0" xfId="0" applyFont="1" applyAlignment="1">
      <alignment horizontal="right"/>
    </xf>
    <xf numFmtId="0" fontId="0" fillId="0" borderId="48" xfId="0" applyBorder="1" applyAlignment="1"/>
    <xf numFmtId="165" fontId="51" fillId="35" borderId="18" xfId="0" applyNumberFormat="1" applyFont="1" applyFill="1" applyBorder="1" applyAlignment="1">
      <alignment horizontal="right" vertical="center"/>
    </xf>
    <xf numFmtId="167" fontId="51" fillId="35" borderId="48" xfId="0" applyNumberFormat="1" applyFont="1" applyFill="1" applyBorder="1" applyAlignment="1">
      <alignment horizontal="right" vertical="center"/>
    </xf>
    <xf numFmtId="167" fontId="51" fillId="25" borderId="17" xfId="0" applyNumberFormat="1" applyFont="1" applyFill="1" applyBorder="1" applyAlignment="1">
      <alignment horizontal="right" vertical="center"/>
    </xf>
    <xf numFmtId="167" fontId="51" fillId="25" borderId="20" xfId="0" applyNumberFormat="1" applyFont="1" applyFill="1" applyBorder="1" applyAlignment="1">
      <alignment horizontal="right" vertical="center"/>
    </xf>
    <xf numFmtId="167" fontId="53" fillId="7" borderId="0" xfId="0" applyNumberFormat="1" applyFont="1" applyFill="1" applyAlignment="1"/>
    <xf numFmtId="0" fontId="0" fillId="0" borderId="69" xfId="0" applyBorder="1" applyAlignment="1"/>
    <xf numFmtId="0" fontId="50" fillId="0" borderId="63" xfId="0" applyFont="1" applyBorder="1" applyAlignment="1"/>
    <xf numFmtId="0" fontId="0" fillId="0" borderId="63" xfId="0" applyBorder="1" applyAlignment="1"/>
    <xf numFmtId="167" fontId="50" fillId="0" borderId="63" xfId="0" applyNumberFormat="1" applyFont="1" applyBorder="1" applyAlignment="1"/>
    <xf numFmtId="167" fontId="50" fillId="0" borderId="28" xfId="0" applyNumberFormat="1" applyFont="1" applyBorder="1" applyAlignment="1"/>
    <xf numFmtId="167" fontId="51" fillId="7" borderId="0" xfId="0" applyNumberFormat="1" applyFont="1" applyFill="1" applyAlignment="1">
      <alignment horizontal="right" vertical="center"/>
    </xf>
    <xf numFmtId="165" fontId="53" fillId="0" borderId="0" xfId="0" applyNumberFormat="1" applyFont="1" applyAlignment="1"/>
    <xf numFmtId="167" fontId="51" fillId="35" borderId="6" xfId="0" applyNumberFormat="1" applyFont="1" applyFill="1" applyBorder="1" applyAlignment="1">
      <alignment horizontal="right" vertical="center"/>
    </xf>
    <xf numFmtId="167" fontId="51" fillId="35" borderId="14" xfId="0" applyNumberFormat="1" applyFont="1" applyFill="1" applyBorder="1" applyAlignment="1">
      <alignment horizontal="right" vertical="center"/>
    </xf>
    <xf numFmtId="167" fontId="51" fillId="35" borderId="18" xfId="0" applyNumberFormat="1" applyFont="1" applyFill="1" applyBorder="1" applyAlignment="1">
      <alignment horizontal="right" vertical="center"/>
    </xf>
    <xf numFmtId="0" fontId="50" fillId="26" borderId="59" xfId="0" applyFont="1" applyFill="1" applyBorder="1" applyAlignment="1"/>
    <xf numFmtId="169" fontId="0" fillId="0" borderId="46" xfId="0" applyNumberFormat="1" applyBorder="1" applyAlignment="1"/>
    <xf numFmtId="0" fontId="0" fillId="0" borderId="46" xfId="0" applyBorder="1" applyAlignment="1"/>
    <xf numFmtId="0" fontId="0" fillId="0" borderId="49" xfId="0" applyBorder="1" applyAlignment="1"/>
    <xf numFmtId="0" fontId="50" fillId="26" borderId="64" xfId="0" applyFont="1" applyFill="1" applyBorder="1" applyAlignment="1"/>
    <xf numFmtId="169" fontId="0" fillId="0" borderId="72" xfId="0" applyNumberFormat="1" applyBorder="1" applyAlignment="1"/>
    <xf numFmtId="0" fontId="53" fillId="0" borderId="15" xfId="0" applyFont="1" applyBorder="1" applyAlignment="1"/>
    <xf numFmtId="0" fontId="0" fillId="0" borderId="28" xfId="0" applyBorder="1" applyAlignment="1"/>
    <xf numFmtId="165" fontId="51" fillId="25" borderId="11" xfId="0" applyNumberFormat="1" applyFont="1" applyFill="1" applyBorder="1" applyAlignment="1">
      <alignment horizontal="right" vertical="center"/>
    </xf>
    <xf numFmtId="167" fontId="51" fillId="25" borderId="11" xfId="0" applyNumberFormat="1" applyFont="1" applyFill="1" applyBorder="1" applyAlignment="1">
      <alignment horizontal="right" vertical="center"/>
    </xf>
    <xf numFmtId="169" fontId="0" fillId="0" borderId="0" xfId="0" applyNumberFormat="1" applyAlignment="1"/>
    <xf numFmtId="169" fontId="0" fillId="0" borderId="15" xfId="0" applyNumberFormat="1" applyBorder="1" applyAlignment="1"/>
    <xf numFmtId="0" fontId="53" fillId="0" borderId="63" xfId="0" applyFont="1" applyBorder="1" applyAlignment="1"/>
    <xf numFmtId="169" fontId="0" fillId="0" borderId="63" xfId="0" applyNumberFormat="1" applyBorder="1" applyAlignment="1"/>
    <xf numFmtId="169" fontId="0" fillId="0" borderId="28" xfId="0" applyNumberFormat="1" applyBorder="1" applyAlignment="1"/>
    <xf numFmtId="16" fontId="4" fillId="36" borderId="13" xfId="0" applyNumberFormat="1" applyFont="1" applyFill="1" applyBorder="1" applyAlignment="1"/>
    <xf numFmtId="16" fontId="4" fillId="36" borderId="17" xfId="0" applyNumberFormat="1" applyFont="1" applyFill="1" applyBorder="1" applyAlignment="1"/>
    <xf numFmtId="165" fontId="24" fillId="28" borderId="14" xfId="4" applyNumberFormat="1" applyFont="1" applyFill="1" applyBorder="1"/>
    <xf numFmtId="165" fontId="24" fillId="28" borderId="6" xfId="4" applyNumberFormat="1" applyFont="1" applyFill="1" applyBorder="1"/>
    <xf numFmtId="165" fontId="24" fillId="28" borderId="18" xfId="4" applyNumberFormat="1" applyFont="1" applyFill="1" applyBorder="1"/>
    <xf numFmtId="165" fontId="48" fillId="0" borderId="11" xfId="4" applyNumberFormat="1" applyFont="1" applyBorder="1"/>
    <xf numFmtId="165" fontId="34" fillId="0" borderId="11" xfId="4" applyNumberFormat="1" applyFont="1" applyBorder="1"/>
    <xf numFmtId="0" fontId="48" fillId="0" borderId="11" xfId="4" applyFont="1" applyBorder="1"/>
    <xf numFmtId="4" fontId="3" fillId="0" borderId="0" xfId="4" applyNumberFormat="1"/>
    <xf numFmtId="16" fontId="24" fillId="28" borderId="13" xfId="0" applyNumberFormat="1" applyFont="1" applyFill="1" applyBorder="1" applyAlignment="1">
      <alignment horizontal="right" vertical="center"/>
    </xf>
    <xf numFmtId="165" fontId="55" fillId="28" borderId="47" xfId="0" applyNumberFormat="1" applyFont="1" applyFill="1" applyBorder="1" applyAlignment="1"/>
    <xf numFmtId="0" fontId="10" fillId="44" borderId="30" xfId="0" applyFont="1" applyFill="1" applyBorder="1" applyAlignment="1"/>
    <xf numFmtId="0" fontId="10" fillId="44" borderId="57" xfId="0" applyFont="1" applyFill="1" applyBorder="1" applyAlignment="1"/>
    <xf numFmtId="16" fontId="4" fillId="45" borderId="13" xfId="0" applyNumberFormat="1" applyFont="1" applyFill="1" applyBorder="1" applyAlignment="1"/>
    <xf numFmtId="0" fontId="4" fillId="45" borderId="30" xfId="0" applyFont="1" applyFill="1" applyBorder="1" applyAlignment="1"/>
    <xf numFmtId="0" fontId="4" fillId="45" borderId="57" xfId="0" applyFont="1" applyFill="1" applyBorder="1" applyAlignment="1"/>
    <xf numFmtId="168" fontId="4" fillId="45" borderId="21" xfId="0" applyNumberFormat="1" applyFont="1" applyFill="1" applyBorder="1" applyAlignment="1"/>
    <xf numFmtId="168" fontId="4" fillId="45" borderId="21" xfId="0" applyNumberFormat="1" applyFont="1" applyFill="1" applyBorder="1" applyAlignment="1">
      <alignment horizontal="center"/>
    </xf>
    <xf numFmtId="168" fontId="11" fillId="45" borderId="21" xfId="0" applyNumberFormat="1" applyFont="1" applyFill="1" applyBorder="1" applyAlignment="1">
      <alignment horizontal="center"/>
    </xf>
    <xf numFmtId="0" fontId="28" fillId="45" borderId="30" xfId="0" applyFont="1" applyFill="1" applyBorder="1" applyAlignment="1"/>
    <xf numFmtId="0" fontId="28" fillId="45" borderId="57" xfId="0" applyFont="1" applyFill="1" applyBorder="1" applyAlignment="1"/>
    <xf numFmtId="0" fontId="4" fillId="45" borderId="42" xfId="0" applyFont="1" applyFill="1" applyBorder="1" applyAlignment="1"/>
    <xf numFmtId="0" fontId="28" fillId="45" borderId="42" xfId="0" applyFont="1" applyFill="1" applyBorder="1" applyAlignment="1"/>
    <xf numFmtId="0" fontId="28" fillId="45" borderId="61" xfId="0" applyFont="1" applyFill="1" applyBorder="1" applyAlignment="1"/>
    <xf numFmtId="0" fontId="11" fillId="45" borderId="42" xfId="0" applyFont="1" applyFill="1" applyBorder="1" applyAlignment="1"/>
    <xf numFmtId="0" fontId="36" fillId="45" borderId="42" xfId="0" applyFont="1" applyFill="1" applyBorder="1" applyAlignment="1"/>
    <xf numFmtId="0" fontId="36" fillId="45" borderId="61" xfId="0" applyFont="1" applyFill="1" applyBorder="1" applyAlignment="1"/>
    <xf numFmtId="0" fontId="10" fillId="44" borderId="42" xfId="0" applyFont="1" applyFill="1" applyBorder="1" applyAlignment="1"/>
    <xf numFmtId="0" fontId="37" fillId="44" borderId="42" xfId="0" applyFont="1" applyFill="1" applyBorder="1" applyAlignment="1"/>
    <xf numFmtId="0" fontId="37" fillId="44" borderId="61" xfId="0" applyFont="1" applyFill="1" applyBorder="1" applyAlignment="1"/>
    <xf numFmtId="165" fontId="4" fillId="47" borderId="14" xfId="0" applyNumberFormat="1" applyFont="1" applyFill="1" applyBorder="1" applyAlignment="1" applyProtection="1">
      <alignment horizontal="center" vertical="center"/>
      <protection locked="0"/>
    </xf>
    <xf numFmtId="165" fontId="4" fillId="48" borderId="14" xfId="0" applyNumberFormat="1" applyFont="1" applyFill="1" applyBorder="1" applyAlignment="1" applyProtection="1">
      <alignment horizontal="center" vertical="center"/>
      <protection locked="0"/>
    </xf>
    <xf numFmtId="165" fontId="6" fillId="24" borderId="52" xfId="0" applyNumberFormat="1" applyFont="1" applyFill="1" applyBorder="1" applyAlignment="1">
      <alignment horizontal="right" vertical="center"/>
    </xf>
    <xf numFmtId="165" fontId="6" fillId="24" borderId="55" xfId="0" applyNumberFormat="1" applyFont="1" applyFill="1" applyBorder="1" applyAlignment="1">
      <alignment horizontal="right" vertical="center"/>
    </xf>
    <xf numFmtId="165" fontId="25" fillId="0" borderId="22" xfId="0" applyNumberFormat="1" applyFont="1" applyBorder="1" applyAlignment="1" applyProtection="1">
      <alignment horizontal="center" vertical="center"/>
      <protection locked="0"/>
    </xf>
    <xf numFmtId="165" fontId="24" fillId="3" borderId="18" xfId="0" applyNumberFormat="1" applyFont="1" applyFill="1" applyBorder="1" applyAlignment="1">
      <alignment horizontal="center" vertical="center"/>
    </xf>
    <xf numFmtId="165" fontId="24" fillId="3" borderId="20" xfId="0" applyNumberFormat="1" applyFont="1" applyFill="1" applyBorder="1" applyAlignment="1">
      <alignment horizontal="center" vertical="center"/>
    </xf>
    <xf numFmtId="165" fontId="24" fillId="48" borderId="6" xfId="0" applyNumberFormat="1" applyFont="1" applyFill="1" applyBorder="1" applyAlignment="1" applyProtection="1">
      <alignment horizontal="center" vertical="center"/>
      <protection locked="0"/>
    </xf>
    <xf numFmtId="165" fontId="24" fillId="48" borderId="9" xfId="0" applyNumberFormat="1" applyFont="1" applyFill="1" applyBorder="1" applyAlignment="1" applyProtection="1">
      <alignment horizontal="center" vertical="center"/>
      <protection locked="0"/>
    </xf>
    <xf numFmtId="165" fontId="24" fillId="48" borderId="21" xfId="0" applyNumberFormat="1" applyFont="1" applyFill="1" applyBorder="1" applyAlignment="1" applyProtection="1">
      <alignment horizontal="center" vertical="center"/>
      <protection locked="0"/>
    </xf>
    <xf numFmtId="165" fontId="4" fillId="48" borderId="18" xfId="0" applyNumberFormat="1" applyFont="1" applyFill="1" applyBorder="1" applyAlignment="1" applyProtection="1">
      <alignment horizontal="center" vertical="center"/>
      <protection locked="0"/>
    </xf>
    <xf numFmtId="165" fontId="4" fillId="47" borderId="27" xfId="0" applyNumberFormat="1" applyFont="1" applyFill="1" applyBorder="1" applyAlignment="1" applyProtection="1">
      <alignment horizontal="center" vertical="center"/>
      <protection locked="0"/>
    </xf>
    <xf numFmtId="165" fontId="4" fillId="48" borderId="27" xfId="0" applyNumberFormat="1" applyFont="1" applyFill="1" applyBorder="1" applyAlignment="1" applyProtection="1">
      <alignment horizontal="center" vertical="center"/>
      <protection locked="0"/>
    </xf>
    <xf numFmtId="165" fontId="4" fillId="48" borderId="37" xfId="0" applyNumberFormat="1" applyFont="1" applyFill="1" applyBorder="1" applyAlignment="1" applyProtection="1">
      <alignment horizontal="center" vertical="center"/>
      <protection locked="0"/>
    </xf>
    <xf numFmtId="165" fontId="4" fillId="48" borderId="2" xfId="0" applyNumberFormat="1" applyFont="1" applyFill="1" applyBorder="1" applyAlignment="1" applyProtection="1">
      <alignment horizontal="center" vertical="center"/>
      <protection locked="0"/>
    </xf>
    <xf numFmtId="165" fontId="4" fillId="48" borderId="4" xfId="0" applyNumberFormat="1" applyFont="1" applyFill="1" applyBorder="1" applyAlignment="1" applyProtection="1">
      <alignment horizontal="center" vertical="center"/>
      <protection locked="0"/>
    </xf>
    <xf numFmtId="165" fontId="4" fillId="47" borderId="6" xfId="0" applyNumberFormat="1" applyFont="1" applyFill="1" applyBorder="1" applyAlignment="1" applyProtection="1">
      <alignment horizontal="center" vertical="center"/>
      <protection locked="0"/>
    </xf>
    <xf numFmtId="165" fontId="4" fillId="48" borderId="6" xfId="0" applyNumberFormat="1" applyFont="1" applyFill="1" applyBorder="1" applyAlignment="1" applyProtection="1">
      <alignment horizontal="center" vertical="center"/>
      <protection locked="0"/>
    </xf>
    <xf numFmtId="165" fontId="4" fillId="48" borderId="9" xfId="0" applyNumberFormat="1" applyFont="1" applyFill="1" applyBorder="1" applyAlignment="1" applyProtection="1">
      <alignment horizontal="center" vertical="center"/>
      <protection locked="0"/>
    </xf>
    <xf numFmtId="165" fontId="4" fillId="47" borderId="18" xfId="0" applyNumberFormat="1" applyFont="1" applyFill="1" applyBorder="1" applyAlignment="1" applyProtection="1">
      <alignment horizontal="center" vertical="center"/>
      <protection locked="0"/>
    </xf>
    <xf numFmtId="165" fontId="4" fillId="48" borderId="20" xfId="0" applyNumberFormat="1" applyFont="1" applyFill="1" applyBorder="1" applyAlignment="1" applyProtection="1">
      <alignment horizontal="center" vertical="center"/>
      <protection locked="0"/>
    </xf>
    <xf numFmtId="165" fontId="24" fillId="48" borderId="38" xfId="0" applyNumberFormat="1" applyFont="1" applyFill="1" applyBorder="1" applyAlignment="1" applyProtection="1">
      <alignment horizontal="center" vertical="center"/>
      <protection locked="0"/>
    </xf>
    <xf numFmtId="165" fontId="24" fillId="48" borderId="52" xfId="0" applyNumberFormat="1" applyFont="1" applyFill="1" applyBorder="1" applyAlignment="1" applyProtection="1">
      <alignment horizontal="center" vertical="center"/>
      <protection locked="0"/>
    </xf>
    <xf numFmtId="165" fontId="24" fillId="47" borderId="2" xfId="0" applyNumberFormat="1" applyFont="1" applyFill="1" applyBorder="1" applyAlignment="1" applyProtection="1">
      <alignment horizontal="center" vertical="center"/>
      <protection locked="0"/>
    </xf>
    <xf numFmtId="165" fontId="24" fillId="47" borderId="4" xfId="0" applyNumberFormat="1" applyFont="1" applyFill="1" applyBorder="1" applyAlignment="1" applyProtection="1">
      <alignment horizontal="center" vertical="center"/>
      <protection locked="0"/>
    </xf>
    <xf numFmtId="165" fontId="4" fillId="48" borderId="21" xfId="0" applyNumberFormat="1" applyFont="1" applyFill="1" applyBorder="1" applyAlignment="1">
      <alignment horizontal="center" vertical="center"/>
    </xf>
    <xf numFmtId="165" fontId="4" fillId="48" borderId="18" xfId="0" applyNumberFormat="1" applyFont="1" applyFill="1" applyBorder="1" applyAlignment="1">
      <alignment horizontal="center" vertical="center"/>
    </xf>
    <xf numFmtId="165" fontId="4" fillId="48" borderId="20" xfId="0" applyNumberFormat="1" applyFont="1" applyFill="1" applyBorder="1" applyAlignment="1">
      <alignment horizontal="center" vertical="center"/>
    </xf>
    <xf numFmtId="165" fontId="4" fillId="48" borderId="21" xfId="0" applyNumberFormat="1" applyFont="1" applyFill="1" applyBorder="1" applyAlignment="1" applyProtection="1">
      <alignment horizontal="center" vertical="center"/>
      <protection locked="0"/>
    </xf>
    <xf numFmtId="165" fontId="24" fillId="48" borderId="29" xfId="0" applyNumberFormat="1" applyFont="1" applyFill="1" applyBorder="1" applyAlignment="1" applyProtection="1">
      <alignment horizontal="center" vertical="center"/>
      <protection locked="0"/>
    </xf>
    <xf numFmtId="165" fontId="4" fillId="49" borderId="14" xfId="0" applyNumberFormat="1" applyFont="1" applyFill="1" applyBorder="1" applyAlignment="1" applyProtection="1">
      <alignment horizontal="center" vertical="center"/>
      <protection locked="0"/>
    </xf>
    <xf numFmtId="165" fontId="24" fillId="50" borderId="6" xfId="0" applyNumberFormat="1" applyFont="1" applyFill="1" applyBorder="1" applyAlignment="1" applyProtection="1">
      <alignment horizontal="center" vertical="center"/>
      <protection locked="0"/>
    </xf>
    <xf numFmtId="165" fontId="24" fillId="50" borderId="14" xfId="0" applyNumberFormat="1" applyFont="1" applyFill="1" applyBorder="1" applyAlignment="1" applyProtection="1">
      <alignment horizontal="center" vertical="center"/>
      <protection locked="0"/>
    </xf>
    <xf numFmtId="165" fontId="24" fillId="48" borderId="4" xfId="0" applyNumberFormat="1" applyFont="1" applyFill="1" applyBorder="1" applyAlignment="1" applyProtection="1">
      <alignment horizontal="center" vertical="center"/>
      <protection locked="0"/>
    </xf>
    <xf numFmtId="165" fontId="24" fillId="48" borderId="27" xfId="0" applyNumberFormat="1" applyFont="1" applyFill="1" applyBorder="1" applyAlignment="1" applyProtection="1">
      <alignment horizontal="center" vertical="center"/>
      <protection locked="0"/>
    </xf>
    <xf numFmtId="165" fontId="4" fillId="9" borderId="14" xfId="0" applyNumberFormat="1" applyFont="1" applyFill="1" applyBorder="1" applyAlignment="1" applyProtection="1">
      <alignment horizontal="center" vertical="center"/>
      <protection locked="0"/>
    </xf>
    <xf numFmtId="165" fontId="4" fillId="9" borderId="27" xfId="0" applyNumberFormat="1" applyFont="1" applyFill="1" applyBorder="1" applyAlignment="1" applyProtection="1">
      <alignment horizontal="center" vertical="center"/>
      <protection locked="0"/>
    </xf>
    <xf numFmtId="165" fontId="24" fillId="9" borderId="1" xfId="0" applyNumberFormat="1" applyFont="1" applyFill="1" applyBorder="1" applyAlignment="1" applyProtection="1">
      <alignment horizontal="center" vertical="center"/>
      <protection locked="0"/>
    </xf>
    <xf numFmtId="0" fontId="4" fillId="7" borderId="34" xfId="4" applyFont="1" applyFill="1" applyBorder="1" applyAlignment="1" applyProtection="1">
      <alignment horizontal="left" vertical="center"/>
      <protection locked="0"/>
    </xf>
    <xf numFmtId="0" fontId="4" fillId="7" borderId="35" xfId="4" applyFont="1" applyFill="1" applyBorder="1" applyAlignment="1" applyProtection="1">
      <alignment horizontal="left" vertical="center"/>
      <protection locked="0"/>
    </xf>
    <xf numFmtId="0" fontId="4" fillId="7" borderId="44" xfId="4" applyFont="1" applyFill="1" applyBorder="1" applyAlignment="1" applyProtection="1">
      <alignment horizontal="left" vertical="center"/>
      <protection locked="0"/>
    </xf>
    <xf numFmtId="165" fontId="24" fillId="28" borderId="5" xfId="4" applyNumberFormat="1" applyFont="1" applyFill="1" applyBorder="1"/>
    <xf numFmtId="165" fontId="24" fillId="28" borderId="13" xfId="4" applyNumberFormat="1" applyFont="1" applyFill="1" applyBorder="1"/>
    <xf numFmtId="165" fontId="24" fillId="28" borderId="17" xfId="4" applyNumberFormat="1" applyFont="1" applyFill="1" applyBorder="1"/>
    <xf numFmtId="165" fontId="24" fillId="28" borderId="7" xfId="4" applyNumberFormat="1" applyFont="1" applyFill="1" applyBorder="1"/>
    <xf numFmtId="165" fontId="24" fillId="28" borderId="29" xfId="4" applyNumberFormat="1" applyFont="1" applyFill="1" applyBorder="1"/>
    <xf numFmtId="165" fontId="24" fillId="28" borderId="48" xfId="4" applyNumberFormat="1" applyFont="1" applyFill="1" applyBorder="1"/>
    <xf numFmtId="165" fontId="58" fillId="38" borderId="73" xfId="4" applyNumberFormat="1" applyFont="1" applyFill="1" applyBorder="1" applyAlignment="1">
      <alignment horizontal="center"/>
    </xf>
    <xf numFmtId="4" fontId="58" fillId="37" borderId="73" xfId="4" applyNumberFormat="1" applyFont="1" applyFill="1" applyBorder="1" applyAlignment="1">
      <alignment horizontal="center" vertical="center"/>
    </xf>
    <xf numFmtId="0" fontId="57" fillId="42" borderId="73" xfId="4" applyFont="1" applyFill="1" applyBorder="1" applyAlignment="1">
      <alignment horizontal="center" vertical="center"/>
    </xf>
    <xf numFmtId="165" fontId="58" fillId="40" borderId="73" xfId="4" applyNumberFormat="1" applyFont="1" applyFill="1" applyBorder="1" applyAlignment="1">
      <alignment horizontal="center"/>
    </xf>
    <xf numFmtId="0" fontId="57" fillId="43" borderId="73" xfId="4" applyFont="1" applyFill="1" applyBorder="1" applyAlignment="1">
      <alignment horizontal="center" vertical="center"/>
    </xf>
    <xf numFmtId="165" fontId="56" fillId="38" borderId="25" xfId="4" applyNumberFormat="1" applyFont="1" applyFill="1" applyBorder="1"/>
    <xf numFmtId="165" fontId="56" fillId="37" borderId="25" xfId="4" applyNumberFormat="1" applyFont="1" applyFill="1" applyBorder="1"/>
    <xf numFmtId="165" fontId="59" fillId="39" borderId="25" xfId="4" applyNumberFormat="1" applyFont="1" applyFill="1" applyBorder="1" applyAlignment="1">
      <alignment horizontal="right"/>
    </xf>
    <xf numFmtId="170" fontId="56" fillId="40" borderId="25" xfId="4" applyNumberFormat="1" applyFont="1" applyFill="1" applyBorder="1"/>
    <xf numFmtId="165" fontId="59" fillId="43" borderId="25" xfId="4" applyNumberFormat="1" applyFont="1" applyFill="1" applyBorder="1" applyAlignment="1">
      <alignment horizontal="right"/>
    </xf>
    <xf numFmtId="165" fontId="3" fillId="16" borderId="14" xfId="4" applyNumberFormat="1" applyFill="1" applyBorder="1"/>
    <xf numFmtId="165" fontId="3" fillId="19" borderId="14" xfId="4" applyNumberFormat="1" applyFill="1" applyBorder="1"/>
    <xf numFmtId="170" fontId="3" fillId="41" borderId="14" xfId="4" applyNumberFormat="1" applyFill="1" applyBorder="1"/>
    <xf numFmtId="165" fontId="3" fillId="33" borderId="5" xfId="4" applyNumberFormat="1" applyFill="1" applyBorder="1"/>
    <xf numFmtId="165" fontId="3" fillId="16" borderId="6" xfId="4" applyNumberFormat="1" applyFill="1" applyBorder="1"/>
    <xf numFmtId="165" fontId="3" fillId="19" borderId="6" xfId="4" applyNumberFormat="1" applyFill="1" applyBorder="1"/>
    <xf numFmtId="170" fontId="3" fillId="41" borderId="6" xfId="4" applyNumberFormat="1" applyFill="1" applyBorder="1"/>
    <xf numFmtId="4" fontId="3" fillId="46" borderId="9" xfId="4" applyNumberFormat="1" applyFill="1" applyBorder="1"/>
    <xf numFmtId="165" fontId="3" fillId="33" borderId="13" xfId="4" applyNumberFormat="1" applyFill="1" applyBorder="1"/>
    <xf numFmtId="4" fontId="3" fillId="46" borderId="21" xfId="4" applyNumberFormat="1" applyFill="1" applyBorder="1"/>
    <xf numFmtId="165" fontId="3" fillId="33" borderId="17" xfId="4" applyNumberFormat="1" applyFill="1" applyBorder="1"/>
    <xf numFmtId="165" fontId="3" fillId="16" borderId="18" xfId="4" applyNumberFormat="1" applyFill="1" applyBorder="1"/>
    <xf numFmtId="165" fontId="3" fillId="19" borderId="18" xfId="4" applyNumberFormat="1" applyFill="1" applyBorder="1"/>
    <xf numFmtId="170" fontId="3" fillId="41" borderId="18" xfId="4" applyNumberFormat="1" applyFill="1" applyBorder="1"/>
    <xf numFmtId="4" fontId="3" fillId="46" borderId="20" xfId="4" applyNumberFormat="1" applyFill="1" applyBorder="1"/>
    <xf numFmtId="165" fontId="4" fillId="47" borderId="14" xfId="0" applyNumberFormat="1" applyFont="1" applyFill="1" applyBorder="1" applyAlignment="1">
      <alignment horizontal="center" vertical="center"/>
    </xf>
    <xf numFmtId="165" fontId="4" fillId="48" borderId="14" xfId="0" applyNumberFormat="1" applyFont="1" applyFill="1" applyBorder="1" applyAlignment="1">
      <alignment horizontal="center" vertical="center"/>
    </xf>
    <xf numFmtId="165" fontId="4" fillId="51" borderId="6" xfId="0" applyNumberFormat="1" applyFont="1" applyFill="1" applyBorder="1" applyAlignment="1" applyProtection="1">
      <alignment horizontal="center" vertical="center"/>
      <protection locked="0"/>
    </xf>
    <xf numFmtId="165" fontId="4" fillId="51" borderId="7" xfId="0" applyNumberFormat="1" applyFont="1" applyFill="1" applyBorder="1" applyAlignment="1" applyProtection="1">
      <alignment horizontal="center" vertical="center"/>
      <protection locked="0"/>
    </xf>
    <xf numFmtId="0" fontId="4" fillId="24" borderId="5" xfId="0" applyFont="1" applyFill="1" applyBorder="1" applyAlignment="1" applyProtection="1">
      <alignment horizontal="left" vertical="center"/>
      <protection locked="0"/>
    </xf>
    <xf numFmtId="165" fontId="4" fillId="0" borderId="6" xfId="0" applyNumberFormat="1" applyFont="1" applyBorder="1" applyAlignment="1" applyProtection="1">
      <alignment horizontal="center" vertical="center"/>
      <protection locked="0"/>
    </xf>
    <xf numFmtId="165" fontId="4" fillId="0" borderId="9" xfId="0" applyNumberFormat="1" applyFont="1" applyBorder="1" applyAlignment="1" applyProtection="1">
      <alignment horizontal="center" vertical="center"/>
      <protection locked="0"/>
    </xf>
    <xf numFmtId="0" fontId="4" fillId="24" borderId="13" xfId="0" applyFont="1" applyFill="1" applyBorder="1" applyAlignment="1" applyProtection="1">
      <alignment horizontal="left" vertical="center"/>
      <protection locked="0"/>
    </xf>
    <xf numFmtId="0" fontId="4" fillId="24" borderId="17" xfId="0" applyFont="1" applyFill="1" applyBorder="1" applyAlignment="1" applyProtection="1">
      <alignment horizontal="left" vertical="center"/>
      <protection locked="0"/>
    </xf>
    <xf numFmtId="0" fontId="5" fillId="50" borderId="13" xfId="0" applyFont="1" applyFill="1" applyBorder="1" applyAlignment="1" applyProtection="1">
      <alignment horizontal="center" vertical="center"/>
      <protection locked="0"/>
    </xf>
    <xf numFmtId="165" fontId="5" fillId="50" borderId="14" xfId="0" applyNumberFormat="1" applyFont="1" applyFill="1" applyBorder="1" applyAlignment="1" applyProtection="1">
      <alignment vertical="center"/>
      <protection locked="0"/>
    </xf>
    <xf numFmtId="165" fontId="5" fillId="47" borderId="14" xfId="0" applyNumberFormat="1" applyFont="1" applyFill="1" applyBorder="1" applyAlignment="1" applyProtection="1">
      <alignment horizontal="center" vertical="center"/>
      <protection locked="0"/>
    </xf>
    <xf numFmtId="0" fontId="11" fillId="20" borderId="8" xfId="0" applyFont="1" applyFill="1" applyBorder="1" applyAlignment="1">
      <alignment horizontal="center"/>
    </xf>
    <xf numFmtId="165" fontId="23" fillId="52" borderId="28" xfId="0" applyNumberFormat="1" applyFont="1" applyFill="1" applyBorder="1" applyAlignment="1" applyProtection="1">
      <alignment horizontal="right" vertical="center"/>
      <protection locked="0"/>
    </xf>
    <xf numFmtId="165" fontId="23" fillId="52" borderId="25" xfId="0" applyNumberFormat="1" applyFont="1" applyFill="1" applyBorder="1" applyAlignment="1" applyProtection="1">
      <alignment horizontal="right" vertical="center"/>
      <protection locked="0"/>
    </xf>
    <xf numFmtId="4" fontId="5" fillId="0" borderId="0" xfId="0" applyNumberFormat="1" applyFont="1" applyAlignment="1" applyProtection="1">
      <alignment horizontal="center" vertical="center"/>
      <protection locked="0"/>
    </xf>
    <xf numFmtId="164" fontId="4" fillId="0" borderId="25" xfId="0" applyNumberFormat="1" applyFont="1" applyBorder="1" applyAlignment="1" applyProtection="1">
      <alignment horizontal="left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4" fontId="4" fillId="0" borderId="13" xfId="0" applyNumberFormat="1" applyFont="1" applyBorder="1" applyAlignment="1" applyProtection="1">
      <alignment horizontal="center" vertical="center"/>
      <protection locked="0"/>
    </xf>
    <xf numFmtId="164" fontId="4" fillId="0" borderId="17" xfId="0" applyNumberFormat="1" applyFont="1" applyBorder="1" applyAlignment="1" applyProtection="1">
      <alignment horizontal="center" vertical="center"/>
      <protection locked="0"/>
    </xf>
    <xf numFmtId="16" fontId="24" fillId="28" borderId="10" xfId="0" applyNumberFormat="1" applyFont="1" applyFill="1" applyBorder="1" applyAlignment="1"/>
    <xf numFmtId="165" fontId="4" fillId="28" borderId="11" xfId="0" applyNumberFormat="1" applyFont="1" applyFill="1" applyBorder="1" applyAlignment="1"/>
    <xf numFmtId="168" fontId="4" fillId="45" borderId="12" xfId="0" applyNumberFormat="1" applyFont="1" applyFill="1" applyBorder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16" fontId="4" fillId="0" borderId="41" xfId="0" applyNumberFormat="1" applyFont="1" applyBorder="1" applyAlignment="1"/>
    <xf numFmtId="168" fontId="4" fillId="0" borderId="47" xfId="0" applyNumberFormat="1" applyFont="1" applyBorder="1" applyAlignment="1"/>
    <xf numFmtId="16" fontId="24" fillId="28" borderId="41" xfId="0" applyNumberFormat="1" applyFont="1" applyFill="1" applyBorder="1" applyAlignment="1"/>
    <xf numFmtId="16" fontId="24" fillId="28" borderId="10" xfId="0" applyNumberFormat="1" applyFont="1" applyFill="1" applyBorder="1" applyAlignment="1">
      <alignment horizontal="righ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168" fontId="4" fillId="3" borderId="18" xfId="0" applyNumberFormat="1" applyFont="1" applyFill="1" applyBorder="1" applyAlignment="1">
      <alignment horizontal="center" vertical="center"/>
    </xf>
    <xf numFmtId="168" fontId="4" fillId="3" borderId="54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168" fontId="4" fillId="3" borderId="20" xfId="0" applyNumberFormat="1" applyFont="1" applyFill="1" applyBorder="1" applyAlignment="1">
      <alignment horizontal="center" vertical="center"/>
    </xf>
    <xf numFmtId="168" fontId="4" fillId="3" borderId="48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right" vertical="center"/>
    </xf>
    <xf numFmtId="168" fontId="4" fillId="0" borderId="12" xfId="0" applyNumberFormat="1" applyFont="1" applyBorder="1" applyAlignment="1">
      <alignment horizontal="center"/>
    </xf>
    <xf numFmtId="168" fontId="4" fillId="3" borderId="19" xfId="0" applyNumberFormat="1" applyFont="1" applyFill="1" applyBorder="1" applyAlignment="1">
      <alignment horizontal="center" vertical="center"/>
    </xf>
    <xf numFmtId="165" fontId="4" fillId="28" borderId="39" xfId="0" applyNumberFormat="1" applyFont="1" applyFill="1" applyBorder="1" applyAlignment="1">
      <alignment horizontal="center" vertical="center"/>
    </xf>
    <xf numFmtId="165" fontId="4" fillId="28" borderId="16" xfId="0" applyNumberFormat="1" applyFont="1" applyFill="1" applyBorder="1" applyAlignment="1">
      <alignment horizontal="center" vertical="center"/>
    </xf>
    <xf numFmtId="165" fontId="4" fillId="28" borderId="19" xfId="0" applyNumberFormat="1" applyFont="1" applyFill="1" applyBorder="1" applyAlignment="1">
      <alignment horizontal="center" vertical="center"/>
    </xf>
    <xf numFmtId="168" fontId="11" fillId="28" borderId="39" xfId="0" applyNumberFormat="1" applyFont="1" applyFill="1" applyBorder="1" applyAlignment="1">
      <alignment horizontal="center" vertical="center"/>
    </xf>
    <xf numFmtId="165" fontId="33" fillId="28" borderId="16" xfId="0" applyNumberFormat="1" applyFont="1" applyFill="1" applyBorder="1" applyAlignment="1">
      <alignment horizontal="center" vertical="center"/>
    </xf>
    <xf numFmtId="165" fontId="32" fillId="28" borderId="16" xfId="0" applyNumberFormat="1" applyFont="1" applyFill="1" applyBorder="1" applyAlignment="1">
      <alignment horizontal="center" vertical="center"/>
    </xf>
    <xf numFmtId="0" fontId="38" fillId="28" borderId="60" xfId="0" applyFont="1" applyFill="1" applyBorder="1" applyAlignment="1"/>
    <xf numFmtId="165" fontId="24" fillId="28" borderId="12" xfId="0" applyNumberFormat="1" applyFont="1" applyFill="1" applyBorder="1" applyAlignment="1"/>
    <xf numFmtId="168" fontId="4" fillId="28" borderId="47" xfId="0" applyNumberFormat="1" applyFont="1" applyFill="1" applyBorder="1" applyAlignment="1"/>
    <xf numFmtId="16" fontId="4" fillId="36" borderId="10" xfId="0" applyNumberFormat="1" applyFont="1" applyFill="1" applyBorder="1" applyAlignment="1"/>
    <xf numFmtId="16" fontId="4" fillId="28" borderId="10" xfId="0" applyNumberFormat="1" applyFont="1" applyFill="1" applyBorder="1" applyAlignment="1">
      <alignment horizontal="right" vertical="center"/>
    </xf>
    <xf numFmtId="168" fontId="11" fillId="0" borderId="12" xfId="0" applyNumberFormat="1" applyFont="1" applyBorder="1" applyAlignment="1">
      <alignment horizontal="center"/>
    </xf>
    <xf numFmtId="165" fontId="4" fillId="9" borderId="6" xfId="0" applyNumberFormat="1" applyFont="1" applyFill="1" applyBorder="1" applyAlignment="1" applyProtection="1">
      <alignment horizontal="center" vertical="center"/>
      <protection locked="0"/>
    </xf>
    <xf numFmtId="0" fontId="33" fillId="28" borderId="41" xfId="0" applyFont="1" applyFill="1" applyBorder="1" applyAlignment="1">
      <alignment horizontal="left"/>
    </xf>
    <xf numFmtId="0" fontId="33" fillId="28" borderId="60" xfId="0" applyFont="1" applyFill="1" applyBorder="1" applyAlignment="1">
      <alignment horizontal="left"/>
    </xf>
    <xf numFmtId="0" fontId="33" fillId="28" borderId="30" xfId="0" applyFont="1" applyFill="1" applyBorder="1" applyAlignment="1">
      <alignment horizontal="left"/>
    </xf>
    <xf numFmtId="0" fontId="33" fillId="28" borderId="57" xfId="0" applyFont="1" applyFill="1" applyBorder="1" applyAlignment="1">
      <alignment horizontal="left"/>
    </xf>
    <xf numFmtId="0" fontId="33" fillId="28" borderId="30" xfId="0" applyFont="1" applyFill="1" applyBorder="1" applyAlignment="1"/>
    <xf numFmtId="0" fontId="33" fillId="28" borderId="57" xfId="0" applyFont="1" applyFill="1" applyBorder="1" applyAlignment="1"/>
    <xf numFmtId="0" fontId="33" fillId="28" borderId="42" xfId="0" applyFont="1" applyFill="1" applyBorder="1" applyAlignment="1"/>
    <xf numFmtId="0" fontId="33" fillId="28" borderId="61" xfId="0" applyFont="1" applyFill="1" applyBorder="1" applyAlignment="1"/>
    <xf numFmtId="0" fontId="33" fillId="28" borderId="40" xfId="0" applyFont="1" applyFill="1" applyBorder="1" applyAlignment="1"/>
    <xf numFmtId="0" fontId="33" fillId="28" borderId="58" xfId="0" applyFont="1" applyFill="1" applyBorder="1" applyAlignment="1"/>
    <xf numFmtId="165" fontId="4" fillId="9" borderId="14" xfId="0" applyNumberFormat="1" applyFont="1" applyFill="1" applyBorder="1" applyAlignment="1">
      <alignment horizontal="center" vertical="center"/>
    </xf>
    <xf numFmtId="165" fontId="4" fillId="9" borderId="18" xfId="0" applyNumberFormat="1" applyFont="1" applyFill="1" applyBorder="1" applyAlignment="1">
      <alignment horizontal="center" vertical="center"/>
    </xf>
    <xf numFmtId="165" fontId="24" fillId="9" borderId="6" xfId="0" applyNumberFormat="1" applyFont="1" applyFill="1" applyBorder="1" applyAlignment="1" applyProtection="1">
      <alignment horizontal="center" vertical="center"/>
      <protection locked="0"/>
    </xf>
    <xf numFmtId="165" fontId="4" fillId="53" borderId="38" xfId="0" applyNumberFormat="1" applyFont="1" applyFill="1" applyBorder="1" applyAlignment="1" applyProtection="1">
      <alignment horizontal="center" vertical="center"/>
      <protection locked="0"/>
    </xf>
    <xf numFmtId="165" fontId="24" fillId="9" borderId="38" xfId="0" applyNumberFormat="1" applyFont="1" applyFill="1" applyBorder="1" applyAlignment="1" applyProtection="1">
      <alignment horizontal="center" vertical="center"/>
      <protection locked="0"/>
    </xf>
    <xf numFmtId="165" fontId="4" fillId="9" borderId="18" xfId="0" applyNumberFormat="1" applyFont="1" applyFill="1" applyBorder="1" applyAlignment="1" applyProtection="1">
      <alignment horizontal="center" vertical="center"/>
      <protection locked="0"/>
    </xf>
    <xf numFmtId="165" fontId="4" fillId="9" borderId="2" xfId="0" applyNumberFormat="1" applyFont="1" applyFill="1" applyBorder="1" applyAlignment="1" applyProtection="1">
      <alignment horizontal="center" vertical="center"/>
      <protection locked="0"/>
    </xf>
    <xf numFmtId="165" fontId="24" fillId="9" borderId="18" xfId="0" applyNumberFormat="1" applyFont="1" applyFill="1" applyBorder="1" applyAlignment="1" applyProtection="1">
      <alignment horizontal="center" vertical="center"/>
      <protection locked="0"/>
    </xf>
    <xf numFmtId="165" fontId="24" fillId="9" borderId="40" xfId="0" applyNumberFormat="1" applyFont="1" applyFill="1" applyBorder="1" applyAlignment="1" applyProtection="1">
      <alignment horizontal="center" vertical="center"/>
      <protection locked="0"/>
    </xf>
    <xf numFmtId="168" fontId="33" fillId="28" borderId="39" xfId="0" applyNumberFormat="1" applyFont="1" applyFill="1" applyBorder="1" applyAlignment="1">
      <alignment horizontal="center" vertical="center"/>
    </xf>
    <xf numFmtId="165" fontId="33" fillId="28" borderId="19" xfId="0" applyNumberFormat="1" applyFont="1" applyFill="1" applyBorder="1" applyAlignment="1">
      <alignment horizontal="center" vertical="center"/>
    </xf>
    <xf numFmtId="0" fontId="4" fillId="20" borderId="67" xfId="0" applyFont="1" applyFill="1" applyBorder="1" applyAlignment="1" applyProtection="1">
      <alignment horizontal="center" vertical="center"/>
      <protection locked="0"/>
    </xf>
    <xf numFmtId="164" fontId="4" fillId="3" borderId="74" xfId="0" applyNumberFormat="1" applyFont="1" applyFill="1" applyBorder="1" applyAlignment="1" applyProtection="1">
      <alignment horizontal="left" vertical="center"/>
      <protection locked="0"/>
    </xf>
    <xf numFmtId="166" fontId="24" fillId="23" borderId="75" xfId="0" applyNumberFormat="1" applyFont="1" applyFill="1" applyBorder="1" applyAlignment="1" applyProtection="1">
      <alignment horizontal="center" vertical="center"/>
      <protection locked="0"/>
    </xf>
    <xf numFmtId="49" fontId="24" fillId="23" borderId="75" xfId="0" applyNumberFormat="1" applyFont="1" applyFill="1" applyBorder="1" applyAlignment="1" applyProtection="1">
      <alignment horizontal="center" vertical="center"/>
      <protection locked="0"/>
    </xf>
    <xf numFmtId="49" fontId="4" fillId="22" borderId="68" xfId="0" applyNumberFormat="1" applyFont="1" applyFill="1" applyBorder="1" applyAlignment="1" applyProtection="1">
      <alignment horizontal="center" vertical="center"/>
      <protection locked="0"/>
    </xf>
    <xf numFmtId="165" fontId="24" fillId="48" borderId="75" xfId="0" applyNumberFormat="1" applyFont="1" applyFill="1" applyBorder="1" applyAlignment="1">
      <alignment horizontal="center" vertical="center"/>
    </xf>
    <xf numFmtId="165" fontId="24" fillId="20" borderId="68" xfId="0" applyNumberFormat="1" applyFont="1" applyFill="1" applyBorder="1" applyAlignment="1">
      <alignment horizontal="center" vertical="center"/>
    </xf>
    <xf numFmtId="165" fontId="6" fillId="24" borderId="65" xfId="0" applyNumberFormat="1" applyFont="1" applyFill="1" applyBorder="1" applyAlignment="1" applyProtection="1">
      <alignment horizontal="right" vertical="center"/>
      <protection locked="0"/>
    </xf>
    <xf numFmtId="165" fontId="24" fillId="48" borderId="11" xfId="0" applyNumberFormat="1" applyFont="1" applyFill="1" applyBorder="1" applyAlignment="1" applyProtection="1">
      <alignment horizontal="center" vertical="center"/>
      <protection locked="0"/>
    </xf>
    <xf numFmtId="165" fontId="24" fillId="0" borderId="5" xfId="0" applyNumberFormat="1" applyFont="1" applyBorder="1" applyAlignment="1" applyProtection="1">
      <alignment horizontal="center" vertical="center"/>
      <protection locked="0"/>
    </xf>
    <xf numFmtId="165" fontId="24" fillId="0" borderId="9" xfId="0" applyNumberFormat="1" applyFont="1" applyBorder="1" applyAlignment="1" applyProtection="1">
      <alignment horizontal="center" vertical="center"/>
      <protection locked="0"/>
    </xf>
    <xf numFmtId="165" fontId="24" fillId="0" borderId="17" xfId="0" applyNumberFormat="1" applyFont="1" applyBorder="1" applyAlignment="1" applyProtection="1">
      <alignment horizontal="center" vertical="center"/>
      <protection locked="0"/>
    </xf>
    <xf numFmtId="165" fontId="24" fillId="0" borderId="20" xfId="0" applyNumberFormat="1" applyFont="1" applyBorder="1" applyAlignment="1" applyProtection="1">
      <alignment horizontal="center" vertical="center"/>
      <protection locked="0"/>
    </xf>
    <xf numFmtId="0" fontId="4" fillId="20" borderId="34" xfId="0" applyFont="1" applyFill="1" applyBorder="1" applyAlignment="1" applyProtection="1">
      <alignment horizontal="center" vertical="center"/>
      <protection locked="0"/>
    </xf>
    <xf numFmtId="0" fontId="4" fillId="20" borderId="35" xfId="0" applyFont="1" applyFill="1" applyBorder="1" applyAlignment="1" applyProtection="1">
      <alignment horizontal="center" vertical="center"/>
      <protection locked="0"/>
    </xf>
    <xf numFmtId="0" fontId="4" fillId="20" borderId="44" xfId="0" applyFont="1" applyFill="1" applyBorder="1" applyAlignment="1" applyProtection="1">
      <alignment horizontal="center" vertical="center"/>
      <protection locked="0"/>
    </xf>
    <xf numFmtId="0" fontId="4" fillId="10" borderId="5" xfId="0" applyFont="1" applyFill="1" applyBorder="1" applyAlignment="1" applyProtection="1">
      <alignment horizontal="left" vertical="center"/>
      <protection locked="0"/>
    </xf>
    <xf numFmtId="0" fontId="4" fillId="10" borderId="13" xfId="0" applyFont="1" applyFill="1" applyBorder="1" applyAlignment="1" applyProtection="1">
      <alignment horizontal="left" vertical="center"/>
      <protection locked="0"/>
    </xf>
    <xf numFmtId="0" fontId="4" fillId="10" borderId="17" xfId="0" applyFont="1" applyFill="1" applyBorder="1" applyAlignment="1" applyProtection="1">
      <alignment horizontal="left" vertical="center"/>
      <protection locked="0"/>
    </xf>
    <xf numFmtId="165" fontId="4" fillId="29" borderId="31" xfId="0" applyNumberFormat="1" applyFont="1" applyFill="1" applyBorder="1" applyAlignment="1" applyProtection="1">
      <alignment horizontal="center" vertical="center"/>
      <protection locked="0"/>
    </xf>
    <xf numFmtId="49" fontId="4" fillId="7" borderId="1" xfId="0" applyNumberFormat="1" applyFont="1" applyFill="1" applyBorder="1" applyAlignment="1" applyProtection="1">
      <alignment horizontal="center" vertical="center"/>
      <protection locked="0"/>
    </xf>
    <xf numFmtId="165" fontId="24" fillId="20" borderId="2" xfId="0" applyNumberFormat="1" applyFont="1" applyFill="1" applyBorder="1" applyAlignment="1" applyProtection="1">
      <alignment horizontal="center" vertical="center"/>
      <protection locked="0"/>
    </xf>
    <xf numFmtId="165" fontId="24" fillId="20" borderId="4" xfId="0" applyNumberFormat="1" applyFont="1" applyFill="1" applyBorder="1" applyAlignment="1" applyProtection="1">
      <alignment horizontal="center" vertical="center"/>
      <protection locked="0"/>
    </xf>
    <xf numFmtId="49" fontId="4" fillId="11" borderId="45" xfId="0" applyNumberFormat="1" applyFont="1" applyFill="1" applyBorder="1" applyAlignment="1" applyProtection="1">
      <alignment horizontal="center" vertical="center"/>
      <protection locked="0"/>
    </xf>
    <xf numFmtId="165" fontId="4" fillId="29" borderId="4" xfId="0" applyNumberFormat="1" applyFont="1" applyFill="1" applyBorder="1" applyAlignment="1" applyProtection="1">
      <alignment horizontal="center" vertical="center"/>
      <protection locked="0"/>
    </xf>
    <xf numFmtId="0" fontId="4" fillId="28" borderId="38" xfId="0" applyFont="1" applyFill="1" applyBorder="1" applyAlignment="1" applyProtection="1">
      <alignment horizontal="left" vertical="center"/>
      <protection locked="0"/>
    </xf>
    <xf numFmtId="0" fontId="4" fillId="28" borderId="30" xfId="0" applyFont="1" applyFill="1" applyBorder="1" applyAlignment="1" applyProtection="1">
      <alignment horizontal="left" vertical="center"/>
      <protection locked="0"/>
    </xf>
    <xf numFmtId="0" fontId="4" fillId="28" borderId="40" xfId="0" applyFont="1" applyFill="1" applyBorder="1" applyAlignment="1" applyProtection="1">
      <alignment horizontal="left" vertical="center"/>
      <protection locked="0"/>
    </xf>
    <xf numFmtId="165" fontId="24" fillId="53" borderId="40" xfId="0" applyNumberFormat="1" applyFont="1" applyFill="1" applyBorder="1" applyAlignment="1" applyProtection="1">
      <alignment horizontal="center" vertical="center"/>
      <protection locked="0"/>
    </xf>
    <xf numFmtId="16" fontId="33" fillId="28" borderId="26" xfId="0" applyNumberFormat="1" applyFont="1" applyFill="1" applyBorder="1" applyAlignment="1"/>
    <xf numFmtId="164" fontId="33" fillId="28" borderId="37" xfId="0" applyNumberFormat="1" applyFont="1" applyFill="1" applyBorder="1" applyAlignment="1"/>
    <xf numFmtId="16" fontId="33" fillId="28" borderId="13" xfId="0" applyNumberFormat="1" applyFont="1" applyFill="1" applyBorder="1" applyAlignment="1"/>
    <xf numFmtId="165" fontId="24" fillId="9" borderId="27" xfId="0" applyNumberFormat="1" applyFont="1" applyFill="1" applyBorder="1" applyAlignment="1" applyProtection="1">
      <alignment horizontal="center" vertical="center"/>
      <protection locked="0"/>
    </xf>
    <xf numFmtId="164" fontId="30" fillId="28" borderId="29" xfId="0" applyNumberFormat="1" applyFont="1" applyFill="1" applyBorder="1" applyAlignment="1"/>
    <xf numFmtId="165" fontId="24" fillId="9" borderId="67" xfId="0" applyNumberFormat="1" applyFont="1" applyFill="1" applyBorder="1" applyAlignment="1">
      <alignment horizontal="center" vertical="center"/>
    </xf>
    <xf numFmtId="165" fontId="24" fillId="9" borderId="2" xfId="0" applyNumberFormat="1" applyFont="1" applyFill="1" applyBorder="1" applyAlignment="1" applyProtection="1">
      <alignment horizontal="center" vertical="center"/>
      <protection locked="0"/>
    </xf>
    <xf numFmtId="165" fontId="24" fillId="53" borderId="38" xfId="0" applyNumberFormat="1" applyFont="1" applyFill="1" applyBorder="1" applyAlignment="1" applyProtection="1">
      <alignment horizontal="center" vertical="center"/>
      <protection locked="0"/>
    </xf>
    <xf numFmtId="16" fontId="30" fillId="28" borderId="13" xfId="0" applyNumberFormat="1" applyFont="1" applyFill="1" applyBorder="1" applyAlignment="1"/>
    <xf numFmtId="0" fontId="30" fillId="28" borderId="30" xfId="0" applyFont="1" applyFill="1" applyBorder="1" applyAlignment="1"/>
    <xf numFmtId="0" fontId="30" fillId="28" borderId="57" xfId="0" applyFont="1" applyFill="1" applyBorder="1" applyAlignment="1"/>
    <xf numFmtId="165" fontId="30" fillId="28" borderId="29" xfId="0" applyNumberFormat="1" applyFont="1" applyFill="1" applyBorder="1" applyAlignment="1"/>
    <xf numFmtId="165" fontId="30" fillId="28" borderId="16" xfId="0" applyNumberFormat="1" applyFont="1" applyFill="1" applyBorder="1" applyAlignment="1">
      <alignment horizontal="center" vertical="center"/>
    </xf>
    <xf numFmtId="16" fontId="33" fillId="0" borderId="30" xfId="0" applyNumberFormat="1" applyFont="1" applyBorder="1" applyAlignment="1"/>
    <xf numFmtId="0" fontId="33" fillId="0" borderId="30" xfId="0" applyFont="1" applyBorder="1" applyAlignment="1"/>
    <xf numFmtId="168" fontId="33" fillId="0" borderId="14" xfId="0" applyNumberFormat="1" applyFont="1" applyBorder="1" applyAlignment="1"/>
    <xf numFmtId="168" fontId="33" fillId="0" borderId="14" xfId="0" applyNumberFormat="1" applyFont="1" applyBorder="1" applyAlignment="1">
      <alignment horizontal="center"/>
    </xf>
    <xf numFmtId="165" fontId="4" fillId="54" borderId="14" xfId="0" applyNumberFormat="1" applyFont="1" applyFill="1" applyBorder="1" applyAlignment="1" applyProtection="1">
      <alignment horizontal="center" vertical="center"/>
      <protection locked="0"/>
    </xf>
    <xf numFmtId="165" fontId="4" fillId="53" borderId="6" xfId="0" applyNumberFormat="1" applyFont="1" applyFill="1" applyBorder="1" applyAlignment="1" applyProtection="1">
      <alignment horizontal="center" vertical="center"/>
      <protection locked="0"/>
    </xf>
    <xf numFmtId="168" fontId="33" fillId="0" borderId="12" xfId="0" applyNumberFormat="1" applyFont="1" applyBorder="1" applyAlignment="1">
      <alignment horizontal="center"/>
    </xf>
    <xf numFmtId="168" fontId="33" fillId="45" borderId="21" xfId="0" applyNumberFormat="1" applyFont="1" applyFill="1" applyBorder="1" applyAlignment="1">
      <alignment horizontal="center"/>
    </xf>
    <xf numFmtId="165" fontId="4" fillId="9" borderId="11" xfId="0" applyNumberFormat="1" applyFont="1" applyFill="1" applyBorder="1" applyAlignment="1" applyProtection="1">
      <alignment horizontal="center" vertical="center"/>
      <protection locked="0"/>
    </xf>
    <xf numFmtId="16" fontId="33" fillId="28" borderId="10" xfId="0" applyNumberFormat="1" applyFont="1" applyFill="1" applyBorder="1" applyAlignment="1"/>
    <xf numFmtId="0" fontId="33" fillId="28" borderId="41" xfId="0" applyFont="1" applyFill="1" applyBorder="1" applyAlignment="1"/>
    <xf numFmtId="0" fontId="33" fillId="28" borderId="60" xfId="0" applyFont="1" applyFill="1" applyBorder="1" applyAlignment="1"/>
    <xf numFmtId="165" fontId="33" fillId="28" borderId="12" xfId="0" applyNumberFormat="1" applyFont="1" applyFill="1" applyBorder="1" applyAlignment="1"/>
    <xf numFmtId="0" fontId="33" fillId="28" borderId="26" xfId="0" applyFont="1" applyFill="1" applyBorder="1" applyAlignment="1"/>
    <xf numFmtId="165" fontId="65" fillId="28" borderId="12" xfId="0" applyNumberFormat="1" applyFont="1" applyFill="1" applyBorder="1" applyAlignment="1"/>
    <xf numFmtId="0" fontId="33" fillId="28" borderId="17" xfId="0" applyFont="1" applyFill="1" applyBorder="1" applyAlignment="1"/>
    <xf numFmtId="0" fontId="33" fillId="28" borderId="63" xfId="0" applyFont="1" applyFill="1" applyBorder="1" applyAlignment="1"/>
    <xf numFmtId="165" fontId="65" fillId="28" borderId="24" xfId="0" applyNumberFormat="1" applyFont="1" applyFill="1" applyBorder="1" applyAlignment="1"/>
    <xf numFmtId="16" fontId="66" fillId="44" borderId="10" xfId="0" applyNumberFormat="1" applyFont="1" applyFill="1" applyBorder="1" applyAlignment="1"/>
    <xf numFmtId="0" fontId="66" fillId="44" borderId="41" xfId="0" applyFont="1" applyFill="1" applyBorder="1" applyAlignment="1"/>
    <xf numFmtId="0" fontId="66" fillId="44" borderId="60" xfId="0" applyFont="1" applyFill="1" applyBorder="1" applyAlignment="1"/>
    <xf numFmtId="168" fontId="66" fillId="44" borderId="12" xfId="0" applyNumberFormat="1" applyFont="1" applyFill="1" applyBorder="1" applyAlignment="1"/>
    <xf numFmtId="0" fontId="66" fillId="0" borderId="13" xfId="0" applyFont="1" applyBorder="1" applyAlignment="1"/>
    <xf numFmtId="0" fontId="66" fillId="0" borderId="30" xfId="0" applyFont="1" applyBorder="1" applyAlignment="1"/>
    <xf numFmtId="0" fontId="66" fillId="0" borderId="57" xfId="0" applyFont="1" applyBorder="1" applyAlignment="1"/>
    <xf numFmtId="168" fontId="66" fillId="0" borderId="21" xfId="0" applyNumberFormat="1" applyFont="1" applyBorder="1" applyAlignment="1"/>
    <xf numFmtId="0" fontId="66" fillId="0" borderId="17" xfId="0" applyFont="1" applyBorder="1" applyAlignment="1"/>
    <xf numFmtId="0" fontId="66" fillId="0" borderId="40" xfId="0" applyFont="1" applyBorder="1" applyAlignment="1"/>
    <xf numFmtId="0" fontId="66" fillId="0" borderId="58" xfId="0" applyFont="1" applyBorder="1" applyAlignment="1"/>
    <xf numFmtId="168" fontId="66" fillId="0" borderId="20" xfId="0" applyNumberFormat="1" applyFont="1" applyBorder="1" applyAlignment="1"/>
    <xf numFmtId="16" fontId="66" fillId="0" borderId="13" xfId="0" applyNumberFormat="1" applyFont="1" applyBorder="1" applyAlignment="1"/>
    <xf numFmtId="0" fontId="33" fillId="45" borderId="42" xfId="0" applyFont="1" applyFill="1" applyBorder="1" applyAlignment="1"/>
    <xf numFmtId="165" fontId="24" fillId="53" borderId="18" xfId="0" applyNumberFormat="1" applyFont="1" applyFill="1" applyBorder="1" applyAlignment="1" applyProtection="1">
      <alignment horizontal="center" vertical="center"/>
      <protection locked="0"/>
    </xf>
    <xf numFmtId="165" fontId="24" fillId="9" borderId="75" xfId="0" applyNumberFormat="1" applyFont="1" applyFill="1" applyBorder="1" applyAlignment="1">
      <alignment horizontal="center" vertical="center"/>
    </xf>
    <xf numFmtId="165" fontId="51" fillId="56" borderId="14" xfId="0" applyNumberFormat="1" applyFont="1" applyFill="1" applyBorder="1" applyAlignment="1">
      <alignment horizontal="right" vertical="center"/>
    </xf>
    <xf numFmtId="165" fontId="51" fillId="55" borderId="14" xfId="0" applyNumberFormat="1" applyFont="1" applyFill="1" applyBorder="1" applyAlignment="1">
      <alignment horizontal="right" vertical="center"/>
    </xf>
    <xf numFmtId="165" fontId="51" fillId="55" borderId="6" xfId="0" applyNumberFormat="1" applyFont="1" applyFill="1" applyBorder="1" applyAlignment="1">
      <alignment horizontal="right" vertical="center"/>
    </xf>
    <xf numFmtId="165" fontId="51" fillId="56" borderId="18" xfId="0" applyNumberFormat="1" applyFont="1" applyFill="1" applyBorder="1" applyAlignment="1">
      <alignment horizontal="right" vertical="center"/>
    </xf>
    <xf numFmtId="165" fontId="5" fillId="57" borderId="14" xfId="0" applyNumberFormat="1" applyFont="1" applyFill="1" applyBorder="1" applyAlignment="1" applyProtection="1">
      <alignment vertical="center"/>
      <protection locked="0"/>
    </xf>
    <xf numFmtId="16" fontId="33" fillId="0" borderId="10" xfId="0" applyNumberFormat="1" applyFont="1" applyBorder="1" applyAlignment="1"/>
    <xf numFmtId="0" fontId="33" fillId="0" borderId="41" xfId="0" applyFont="1" applyBorder="1" applyAlignment="1"/>
    <xf numFmtId="0" fontId="33" fillId="0" borderId="60" xfId="0" applyFont="1" applyBorder="1" applyAlignment="1"/>
    <xf numFmtId="168" fontId="33" fillId="0" borderId="12" xfId="0" applyNumberFormat="1" applyFont="1" applyBorder="1" applyAlignment="1"/>
    <xf numFmtId="16" fontId="33" fillId="0" borderId="13" xfId="0" applyNumberFormat="1" applyFont="1" applyBorder="1" applyAlignment="1"/>
    <xf numFmtId="0" fontId="33" fillId="25" borderId="57" xfId="0" applyFont="1" applyFill="1" applyBorder="1" applyAlignment="1"/>
    <xf numFmtId="168" fontId="33" fillId="0" borderId="21" xfId="0" applyNumberFormat="1" applyFont="1" applyBorder="1" applyAlignment="1"/>
    <xf numFmtId="0" fontId="33" fillId="0" borderId="17" xfId="0" applyFont="1" applyBorder="1" applyAlignment="1"/>
    <xf numFmtId="0" fontId="33" fillId="0" borderId="40" xfId="0" applyFont="1" applyBorder="1" applyAlignment="1"/>
    <xf numFmtId="0" fontId="33" fillId="0" borderId="58" xfId="0" applyFont="1" applyBorder="1" applyAlignment="1"/>
    <xf numFmtId="168" fontId="33" fillId="0" borderId="20" xfId="0" applyNumberFormat="1" applyFont="1" applyBorder="1" applyAlignment="1"/>
    <xf numFmtId="168" fontId="33" fillId="0" borderId="20" xfId="0" applyNumberFormat="1" applyFont="1" applyBorder="1" applyAlignment="1">
      <alignment horizontal="center"/>
    </xf>
    <xf numFmtId="0" fontId="33" fillId="36" borderId="14" xfId="0" applyFont="1" applyFill="1" applyBorder="1" applyAlignment="1"/>
    <xf numFmtId="165" fontId="24" fillId="9" borderId="11" xfId="0" applyNumberFormat="1" applyFont="1" applyFill="1" applyBorder="1" applyAlignment="1" applyProtection="1">
      <alignment horizontal="center" vertical="center"/>
      <protection locked="0"/>
    </xf>
    <xf numFmtId="0" fontId="33" fillId="28" borderId="11" xfId="0" applyFont="1" applyFill="1" applyBorder="1" applyAlignment="1"/>
    <xf numFmtId="168" fontId="33" fillId="28" borderId="11" xfId="0" applyNumberFormat="1" applyFont="1" applyFill="1" applyBorder="1" applyAlignment="1"/>
    <xf numFmtId="0" fontId="34" fillId="28" borderId="13" xfId="0" applyFont="1" applyFill="1" applyBorder="1" applyAlignment="1"/>
    <xf numFmtId="0" fontId="34" fillId="28" borderId="17" xfId="0" applyFont="1" applyFill="1" applyBorder="1" applyAlignment="1"/>
    <xf numFmtId="0" fontId="33" fillId="28" borderId="18" xfId="0" applyFont="1" applyFill="1" applyBorder="1" applyAlignment="1"/>
    <xf numFmtId="165" fontId="33" fillId="28" borderId="18" xfId="0" applyNumberFormat="1" applyFont="1" applyFill="1" applyBorder="1" applyAlignment="1"/>
    <xf numFmtId="165" fontId="4" fillId="58" borderId="14" xfId="0" applyNumberFormat="1" applyFont="1" applyFill="1" applyBorder="1" applyAlignment="1" applyProtection="1">
      <alignment horizontal="center" vertical="center"/>
      <protection locked="0"/>
    </xf>
    <xf numFmtId="165" fontId="24" fillId="53" borderId="14" xfId="0" applyNumberFormat="1" applyFont="1" applyFill="1" applyBorder="1" applyAlignment="1" applyProtection="1">
      <alignment horizontal="center" vertical="center"/>
      <protection locked="0"/>
    </xf>
    <xf numFmtId="16" fontId="33" fillId="0" borderId="41" xfId="0" applyNumberFormat="1" applyFont="1" applyBorder="1" applyAlignment="1"/>
    <xf numFmtId="0" fontId="33" fillId="0" borderId="11" xfId="0" applyFont="1" applyBorder="1" applyAlignment="1"/>
    <xf numFmtId="168" fontId="33" fillId="0" borderId="11" xfId="0" applyNumberFormat="1" applyFont="1" applyBorder="1" applyAlignment="1"/>
    <xf numFmtId="167" fontId="52" fillId="0" borderId="33" xfId="0" applyNumberFormat="1" applyFont="1" applyBorder="1" applyAlignment="1"/>
    <xf numFmtId="167" fontId="28" fillId="0" borderId="6" xfId="0" applyNumberFormat="1" applyFont="1" applyBorder="1" applyAlignment="1"/>
    <xf numFmtId="167" fontId="51" fillId="0" borderId="7" xfId="0" applyNumberFormat="1" applyFont="1" applyBorder="1" applyAlignment="1"/>
    <xf numFmtId="167" fontId="51" fillId="14" borderId="48" xfId="0" applyNumberFormat="1" applyFont="1" applyFill="1" applyBorder="1" applyAlignment="1">
      <alignment horizontal="right" vertical="center"/>
    </xf>
    <xf numFmtId="167" fontId="51" fillId="14" borderId="7" xfId="0" applyNumberFormat="1" applyFont="1" applyFill="1" applyBorder="1" applyAlignment="1">
      <alignment horizontal="right" vertical="center"/>
    </xf>
    <xf numFmtId="167" fontId="51" fillId="14" borderId="21" xfId="0" applyNumberFormat="1" applyFont="1" applyFill="1" applyBorder="1" applyAlignment="1">
      <alignment horizontal="right" vertical="center"/>
    </xf>
    <xf numFmtId="167" fontId="51" fillId="14" borderId="9" xfId="0" applyNumberFormat="1" applyFont="1" applyFill="1" applyBorder="1" applyAlignment="1">
      <alignment horizontal="right" vertical="center"/>
    </xf>
    <xf numFmtId="167" fontId="51" fillId="14" borderId="20" xfId="0" applyNumberFormat="1" applyFont="1" applyFill="1" applyBorder="1" applyAlignment="1">
      <alignment horizontal="right" vertical="center"/>
    </xf>
    <xf numFmtId="165" fontId="24" fillId="51" borderId="18" xfId="0" applyNumberFormat="1" applyFont="1" applyFill="1" applyBorder="1" applyAlignment="1" applyProtection="1">
      <alignment horizontal="center" vertical="center"/>
      <protection locked="0"/>
    </xf>
    <xf numFmtId="165" fontId="4" fillId="51" borderId="20" xfId="0" applyNumberFormat="1" applyFont="1" applyFill="1" applyBorder="1" applyAlignment="1" applyProtection="1">
      <alignment horizontal="center" vertical="center"/>
      <protection locked="0"/>
    </xf>
    <xf numFmtId="167" fontId="51" fillId="7" borderId="42" xfId="0" applyNumberFormat="1" applyFont="1" applyFill="1" applyBorder="1" applyAlignment="1"/>
    <xf numFmtId="0" fontId="0" fillId="0" borderId="18" xfId="0" applyBorder="1" applyAlignment="1"/>
    <xf numFmtId="167" fontId="52" fillId="0" borderId="20" xfId="0" applyNumberFormat="1" applyFont="1" applyBorder="1" applyAlignment="1"/>
    <xf numFmtId="0" fontId="4" fillId="0" borderId="11" xfId="0" applyFont="1" applyBorder="1" applyAlignment="1"/>
    <xf numFmtId="168" fontId="4" fillId="0" borderId="11" xfId="0" applyNumberFormat="1" applyFont="1" applyBorder="1" applyAlignment="1"/>
    <xf numFmtId="165" fontId="24" fillId="58" borderId="14" xfId="0" applyNumberFormat="1" applyFont="1" applyFill="1" applyBorder="1" applyAlignment="1" applyProtection="1">
      <alignment horizontal="center" vertical="center"/>
      <protection locked="0"/>
    </xf>
    <xf numFmtId="165" fontId="23" fillId="52" borderId="3" xfId="0" applyNumberFormat="1" applyFont="1" applyFill="1" applyBorder="1" applyAlignment="1" applyProtection="1">
      <alignment horizontal="right" vertical="center"/>
      <protection locked="0"/>
    </xf>
    <xf numFmtId="165" fontId="45" fillId="0" borderId="0" xfId="4" applyNumberFormat="1" applyFont="1"/>
    <xf numFmtId="0" fontId="50" fillId="0" borderId="9" xfId="0" applyFont="1" applyBorder="1" applyAlignment="1">
      <alignment horizontal="center"/>
    </xf>
    <xf numFmtId="165" fontId="24" fillId="60" borderId="75" xfId="0" applyNumberFormat="1" applyFont="1" applyFill="1" applyBorder="1" applyAlignment="1">
      <alignment horizontal="center" vertical="center"/>
    </xf>
    <xf numFmtId="165" fontId="4" fillId="61" borderId="6" xfId="0" applyNumberFormat="1" applyFont="1" applyFill="1" applyBorder="1" applyAlignment="1" applyProtection="1">
      <alignment horizontal="center" vertical="center"/>
      <protection locked="0"/>
    </xf>
    <xf numFmtId="165" fontId="4" fillId="61" borderId="18" xfId="0" applyNumberFormat="1" applyFont="1" applyFill="1" applyBorder="1" applyAlignment="1">
      <alignment horizontal="center" vertical="center"/>
    </xf>
    <xf numFmtId="165" fontId="24" fillId="60" borderId="6" xfId="0" applyNumberFormat="1" applyFont="1" applyFill="1" applyBorder="1" applyAlignment="1" applyProtection="1">
      <alignment horizontal="center" vertical="center"/>
      <protection locked="0"/>
    </xf>
    <xf numFmtId="165" fontId="4" fillId="60" borderId="14" xfId="0" applyNumberFormat="1" applyFont="1" applyFill="1" applyBorder="1" applyAlignment="1" applyProtection="1">
      <alignment horizontal="center" vertical="center"/>
      <protection locked="0"/>
    </xf>
    <xf numFmtId="165" fontId="4" fillId="60" borderId="2" xfId="0" applyNumberFormat="1" applyFont="1" applyFill="1" applyBorder="1" applyAlignment="1" applyProtection="1">
      <alignment horizontal="center" vertical="center"/>
      <protection locked="0"/>
    </xf>
    <xf numFmtId="165" fontId="24" fillId="61" borderId="38" xfId="0" applyNumberFormat="1" applyFont="1" applyFill="1" applyBorder="1" applyAlignment="1" applyProtection="1">
      <alignment horizontal="center" vertical="center"/>
      <protection locked="0"/>
    </xf>
    <xf numFmtId="165" fontId="4" fillId="61" borderId="14" xfId="0" applyNumberFormat="1" applyFont="1" applyFill="1" applyBorder="1" applyAlignment="1" applyProtection="1">
      <alignment horizontal="center" vertical="center"/>
      <protection locked="0"/>
    </xf>
    <xf numFmtId="165" fontId="4" fillId="61" borderId="18" xfId="0" applyNumberFormat="1" applyFont="1" applyFill="1" applyBorder="1" applyAlignment="1" applyProtection="1">
      <alignment horizontal="center" vertical="center"/>
      <protection locked="0"/>
    </xf>
    <xf numFmtId="165" fontId="24" fillId="60" borderId="18" xfId="0" applyNumberFormat="1" applyFont="1" applyFill="1" applyBorder="1" applyAlignment="1" applyProtection="1">
      <alignment horizontal="center" vertical="center"/>
      <protection locked="0"/>
    </xf>
    <xf numFmtId="165" fontId="24" fillId="60" borderId="11" xfId="0" applyNumberFormat="1" applyFont="1" applyFill="1" applyBorder="1" applyAlignment="1" applyProtection="1">
      <alignment horizontal="center" vertical="center"/>
      <protection locked="0"/>
    </xf>
    <xf numFmtId="16" fontId="32" fillId="28" borderId="30" xfId="0" applyNumberFormat="1" applyFont="1" applyFill="1" applyBorder="1" applyAlignment="1"/>
    <xf numFmtId="0" fontId="32" fillId="28" borderId="30" xfId="0" applyFont="1" applyFill="1" applyBorder="1" applyAlignment="1"/>
    <xf numFmtId="0" fontId="32" fillId="28" borderId="57" xfId="0" applyFont="1" applyFill="1" applyBorder="1" applyAlignment="1"/>
    <xf numFmtId="165" fontId="32" fillId="28" borderId="29" xfId="0" applyNumberFormat="1" applyFont="1" applyFill="1" applyBorder="1" applyAlignment="1"/>
    <xf numFmtId="16" fontId="32" fillId="28" borderId="13" xfId="0" applyNumberFormat="1" applyFont="1" applyFill="1" applyBorder="1" applyAlignment="1"/>
    <xf numFmtId="0" fontId="32" fillId="28" borderId="14" xfId="0" applyFont="1" applyFill="1" applyBorder="1" applyAlignment="1"/>
    <xf numFmtId="165" fontId="32" fillId="28" borderId="14" xfId="0" applyNumberFormat="1" applyFont="1" applyFill="1" applyBorder="1" applyAlignment="1"/>
    <xf numFmtId="16" fontId="32" fillId="28" borderId="10" xfId="0" applyNumberFormat="1" applyFont="1" applyFill="1" applyBorder="1" applyAlignment="1"/>
    <xf numFmtId="0" fontId="32" fillId="28" borderId="41" xfId="0" applyFont="1" applyFill="1" applyBorder="1" applyAlignment="1"/>
    <xf numFmtId="0" fontId="32" fillId="28" borderId="60" xfId="0" applyFont="1" applyFill="1" applyBorder="1" applyAlignment="1"/>
    <xf numFmtId="165" fontId="32" fillId="28" borderId="47" xfId="0" applyNumberFormat="1" applyFont="1" applyFill="1" applyBorder="1" applyAlignment="1"/>
    <xf numFmtId="165" fontId="32" fillId="28" borderId="39" xfId="0" applyNumberFormat="1" applyFont="1" applyFill="1" applyBorder="1" applyAlignment="1">
      <alignment horizontal="center" vertical="center"/>
    </xf>
    <xf numFmtId="16" fontId="32" fillId="0" borderId="13" xfId="0" applyNumberFormat="1" applyFont="1" applyBorder="1" applyAlignment="1"/>
    <xf numFmtId="0" fontId="32" fillId="0" borderId="30" xfId="0" applyFont="1" applyBorder="1" applyAlignment="1"/>
    <xf numFmtId="0" fontId="32" fillId="0" borderId="57" xfId="0" applyFont="1" applyBorder="1" applyAlignment="1"/>
    <xf numFmtId="168" fontId="32" fillId="0" borderId="21" xfId="0" applyNumberFormat="1" applyFont="1" applyBorder="1" applyAlignment="1"/>
    <xf numFmtId="168" fontId="32" fillId="0" borderId="21" xfId="0" applyNumberFormat="1" applyFont="1" applyBorder="1" applyAlignment="1">
      <alignment horizontal="center"/>
    </xf>
    <xf numFmtId="165" fontId="32" fillId="28" borderId="21" xfId="0" applyNumberFormat="1" applyFont="1" applyFill="1" applyBorder="1" applyAlignment="1"/>
    <xf numFmtId="167" fontId="51" fillId="10" borderId="38" xfId="0" applyNumberFormat="1" applyFont="1" applyFill="1" applyBorder="1" applyAlignment="1"/>
    <xf numFmtId="167" fontId="51" fillId="10" borderId="30" xfId="0" applyNumberFormat="1" applyFont="1" applyFill="1" applyBorder="1" applyAlignment="1">
      <alignment horizontal="right" vertical="center"/>
    </xf>
    <xf numFmtId="167" fontId="51" fillId="55" borderId="30" xfId="0" applyNumberFormat="1" applyFont="1" applyFill="1" applyBorder="1" applyAlignment="1">
      <alignment horizontal="right" vertical="center"/>
    </xf>
    <xf numFmtId="167" fontId="51" fillId="55" borderId="40" xfId="0" applyNumberFormat="1" applyFont="1" applyFill="1" applyBorder="1" applyAlignment="1">
      <alignment horizontal="right" vertical="center"/>
    </xf>
    <xf numFmtId="167" fontId="51" fillId="55" borderId="38" xfId="0" applyNumberFormat="1" applyFont="1" applyFill="1" applyBorder="1" applyAlignment="1">
      <alignment horizontal="right" vertical="center"/>
    </xf>
    <xf numFmtId="167" fontId="51" fillId="25" borderId="30" xfId="0" applyNumberFormat="1" applyFont="1" applyFill="1" applyBorder="1" applyAlignment="1">
      <alignment horizontal="right" vertical="center"/>
    </xf>
    <xf numFmtId="167" fontId="51" fillId="25" borderId="38" xfId="0" applyNumberFormat="1" applyFont="1" applyFill="1" applyBorder="1" applyAlignment="1">
      <alignment horizontal="right" vertical="center"/>
    </xf>
    <xf numFmtId="167" fontId="51" fillId="25" borderId="40" xfId="0" applyNumberFormat="1" applyFont="1" applyFill="1" applyBorder="1" applyAlignment="1">
      <alignment horizontal="right" vertical="center"/>
    </xf>
    <xf numFmtId="167" fontId="51" fillId="35" borderId="40" xfId="0" applyNumberFormat="1" applyFont="1" applyFill="1" applyBorder="1" applyAlignment="1">
      <alignment horizontal="right" vertical="center"/>
    </xf>
    <xf numFmtId="167" fontId="51" fillId="25" borderId="41" xfId="0" applyNumberFormat="1" applyFont="1" applyFill="1" applyBorder="1" applyAlignment="1">
      <alignment horizontal="right" vertical="center"/>
    </xf>
    <xf numFmtId="167" fontId="51" fillId="35" borderId="30" xfId="0" applyNumberFormat="1" applyFont="1" applyFill="1" applyBorder="1" applyAlignment="1">
      <alignment horizontal="right" vertical="center"/>
    </xf>
    <xf numFmtId="0" fontId="50" fillId="0" borderId="5" xfId="0" applyFont="1" applyBorder="1" applyAlignment="1">
      <alignment horizontal="center"/>
    </xf>
    <xf numFmtId="165" fontId="51" fillId="25" borderId="5" xfId="0" applyNumberFormat="1" applyFont="1" applyFill="1" applyBorder="1" applyAlignment="1">
      <alignment horizontal="right" vertical="center"/>
    </xf>
    <xf numFmtId="167" fontId="51" fillId="59" borderId="9" xfId="0" applyNumberFormat="1" applyFont="1" applyFill="1" applyBorder="1" applyAlignment="1">
      <alignment horizontal="right" vertical="center"/>
    </xf>
    <xf numFmtId="165" fontId="51" fillId="25" borderId="13" xfId="0" applyNumberFormat="1" applyFont="1" applyFill="1" applyBorder="1" applyAlignment="1">
      <alignment horizontal="right" vertical="center"/>
    </xf>
    <xf numFmtId="167" fontId="51" fillId="59" borderId="21" xfId="0" applyNumberFormat="1" applyFont="1" applyFill="1" applyBorder="1" applyAlignment="1">
      <alignment horizontal="right" vertical="center"/>
    </xf>
    <xf numFmtId="165" fontId="51" fillId="35" borderId="17" xfId="0" applyNumberFormat="1" applyFont="1" applyFill="1" applyBorder="1" applyAlignment="1">
      <alignment horizontal="right" vertical="center"/>
    </xf>
    <xf numFmtId="167" fontId="51" fillId="59" borderId="20" xfId="0" applyNumberFormat="1" applyFont="1" applyFill="1" applyBorder="1" applyAlignment="1">
      <alignment horizontal="right" vertical="center"/>
    </xf>
    <xf numFmtId="0" fontId="0" fillId="0" borderId="34" xfId="0" applyBorder="1" applyAlignment="1"/>
    <xf numFmtId="167" fontId="28" fillId="0" borderId="9" xfId="0" applyNumberFormat="1" applyFont="1" applyBorder="1" applyAlignment="1"/>
    <xf numFmtId="165" fontId="51" fillId="35" borderId="13" xfId="0" applyNumberFormat="1" applyFont="1" applyFill="1" applyBorder="1" applyAlignment="1">
      <alignment horizontal="right" vertical="center"/>
    </xf>
    <xf numFmtId="165" fontId="51" fillId="10" borderId="13" xfId="0" applyNumberFormat="1" applyFont="1" applyFill="1" applyBorder="1" applyAlignment="1">
      <alignment horizontal="right" vertical="center"/>
    </xf>
    <xf numFmtId="165" fontId="51" fillId="25" borderId="10" xfId="0" applyNumberFormat="1" applyFont="1" applyFill="1" applyBorder="1" applyAlignment="1">
      <alignment horizontal="right" vertical="center"/>
    </xf>
    <xf numFmtId="170" fontId="51" fillId="14" borderId="21" xfId="0" applyNumberFormat="1" applyFont="1" applyFill="1" applyBorder="1" applyAlignment="1">
      <alignment horizontal="right" vertical="center"/>
    </xf>
    <xf numFmtId="170" fontId="51" fillId="59" borderId="21" xfId="0" applyNumberFormat="1" applyFont="1" applyFill="1" applyBorder="1" applyAlignment="1">
      <alignment horizontal="right" vertical="center"/>
    </xf>
    <xf numFmtId="170" fontId="51" fillId="59" borderId="9" xfId="0" applyNumberFormat="1" applyFont="1" applyFill="1" applyBorder="1" applyAlignment="1">
      <alignment horizontal="right" vertical="center"/>
    </xf>
    <xf numFmtId="170" fontId="51" fillId="59" borderId="20" xfId="0" applyNumberFormat="1" applyFont="1" applyFill="1" applyBorder="1" applyAlignment="1">
      <alignment horizontal="right" vertical="center"/>
    </xf>
    <xf numFmtId="170" fontId="51" fillId="59" borderId="12" xfId="0" applyNumberFormat="1" applyFont="1" applyFill="1" applyBorder="1" applyAlignment="1">
      <alignment horizontal="right" vertical="center"/>
    </xf>
    <xf numFmtId="0" fontId="50" fillId="0" borderId="52" xfId="0" applyFont="1" applyBorder="1" applyAlignment="1">
      <alignment horizontal="center"/>
    </xf>
    <xf numFmtId="167" fontId="52" fillId="0" borderId="54" xfId="0" applyNumberFormat="1" applyFont="1" applyBorder="1" applyAlignment="1"/>
    <xf numFmtId="167" fontId="52" fillId="0" borderId="17" xfId="0" applyNumberFormat="1" applyFont="1" applyBorder="1" applyAlignment="1"/>
    <xf numFmtId="165" fontId="51" fillId="25" borderId="52" xfId="0" applyNumberFormat="1" applyFont="1" applyFill="1" applyBorder="1" applyAlignment="1">
      <alignment horizontal="right" vertical="center"/>
    </xf>
    <xf numFmtId="165" fontId="51" fillId="35" borderId="55" xfId="0" applyNumberFormat="1" applyFont="1" applyFill="1" applyBorder="1" applyAlignment="1">
      <alignment horizontal="right" vertical="center"/>
    </xf>
    <xf numFmtId="165" fontId="51" fillId="25" borderId="55" xfId="0" applyNumberFormat="1" applyFont="1" applyFill="1" applyBorder="1" applyAlignment="1">
      <alignment horizontal="right" vertical="center"/>
    </xf>
    <xf numFmtId="165" fontId="51" fillId="35" borderId="54" xfId="0" applyNumberFormat="1" applyFont="1" applyFill="1" applyBorder="1" applyAlignment="1">
      <alignment horizontal="right" vertical="center"/>
    </xf>
    <xf numFmtId="167" fontId="28" fillId="0" borderId="5" xfId="0" applyNumberFormat="1" applyFont="1" applyBorder="1" applyAlignment="1"/>
    <xf numFmtId="167" fontId="28" fillId="0" borderId="52" xfId="0" applyNumberFormat="1" applyFont="1" applyBorder="1" applyAlignment="1"/>
    <xf numFmtId="165" fontId="51" fillId="64" borderId="13" xfId="0" applyNumberFormat="1" applyFont="1" applyFill="1" applyBorder="1" applyAlignment="1">
      <alignment horizontal="right" vertical="center"/>
    </xf>
    <xf numFmtId="165" fontId="51" fillId="62" borderId="13" xfId="0" applyNumberFormat="1" applyFont="1" applyFill="1" applyBorder="1" applyAlignment="1">
      <alignment horizontal="right" vertical="center"/>
    </xf>
    <xf numFmtId="165" fontId="51" fillId="63" borderId="13" xfId="0" applyNumberFormat="1" applyFont="1" applyFill="1" applyBorder="1" applyAlignment="1">
      <alignment horizontal="right" vertical="center"/>
    </xf>
    <xf numFmtId="165" fontId="51" fillId="62" borderId="17" xfId="0" applyNumberFormat="1" applyFont="1" applyFill="1" applyBorder="1" applyAlignment="1">
      <alignment horizontal="right" vertical="center"/>
    </xf>
    <xf numFmtId="165" fontId="51" fillId="63" borderId="5" xfId="0" applyNumberFormat="1" applyFont="1" applyFill="1" applyBorder="1" applyAlignment="1">
      <alignment horizontal="right" vertical="center"/>
    </xf>
    <xf numFmtId="165" fontId="51" fillId="65" borderId="55" xfId="0" applyNumberFormat="1" applyFont="1" applyFill="1" applyBorder="1" applyAlignment="1">
      <alignment horizontal="right" vertical="center"/>
    </xf>
    <xf numFmtId="165" fontId="51" fillId="65" borderId="54" xfId="0" applyNumberFormat="1" applyFont="1" applyFill="1" applyBorder="1" applyAlignment="1">
      <alignment horizontal="right" vertical="center"/>
    </xf>
    <xf numFmtId="165" fontId="51" fillId="65" borderId="52" xfId="0" applyNumberFormat="1" applyFont="1" applyFill="1" applyBorder="1" applyAlignment="1">
      <alignment horizontal="right" vertical="center"/>
    </xf>
    <xf numFmtId="165" fontId="51" fillId="66" borderId="13" xfId="0" applyNumberFormat="1" applyFont="1" applyFill="1" applyBorder="1" applyAlignment="1">
      <alignment horizontal="right" vertical="center"/>
    </xf>
    <xf numFmtId="165" fontId="51" fillId="67" borderId="55" xfId="0" applyNumberFormat="1" applyFont="1" applyFill="1" applyBorder="1" applyAlignment="1">
      <alignment horizontal="right" vertical="center"/>
    </xf>
    <xf numFmtId="165" fontId="51" fillId="68" borderId="13" xfId="0" applyNumberFormat="1" applyFont="1" applyFill="1" applyBorder="1" applyAlignment="1">
      <alignment horizontal="right" vertical="center"/>
    </xf>
    <xf numFmtId="165" fontId="51" fillId="68" borderId="17" xfId="0" applyNumberFormat="1" applyFont="1" applyFill="1" applyBorder="1" applyAlignment="1">
      <alignment horizontal="right" vertical="center"/>
    </xf>
    <xf numFmtId="165" fontId="51" fillId="67" borderId="54" xfId="0" applyNumberFormat="1" applyFont="1" applyFill="1" applyBorder="1" applyAlignment="1">
      <alignment horizontal="right" vertical="center"/>
    </xf>
    <xf numFmtId="165" fontId="51" fillId="66" borderId="5" xfId="0" applyNumberFormat="1" applyFont="1" applyFill="1" applyBorder="1" applyAlignment="1">
      <alignment horizontal="right" vertical="center"/>
    </xf>
    <xf numFmtId="165" fontId="51" fillId="67" borderId="52" xfId="0" applyNumberFormat="1" applyFont="1" applyFill="1" applyBorder="1" applyAlignment="1">
      <alignment horizontal="right" vertical="center"/>
    </xf>
    <xf numFmtId="165" fontId="51" fillId="66" borderId="10" xfId="0" applyNumberFormat="1" applyFont="1" applyFill="1" applyBorder="1" applyAlignment="1">
      <alignment horizontal="right" vertical="center"/>
    </xf>
    <xf numFmtId="165" fontId="51" fillId="67" borderId="53" xfId="0" applyNumberFormat="1" applyFont="1" applyFill="1" applyBorder="1" applyAlignment="1">
      <alignment horizontal="right" vertical="center"/>
    </xf>
    <xf numFmtId="165" fontId="51" fillId="69" borderId="17" xfId="0" applyNumberFormat="1" applyFont="1" applyFill="1" applyBorder="1" applyAlignment="1">
      <alignment horizontal="right" vertical="center"/>
    </xf>
    <xf numFmtId="165" fontId="67" fillId="0" borderId="0" xfId="4" applyNumberFormat="1" applyFont="1"/>
    <xf numFmtId="0" fontId="9" fillId="0" borderId="0" xfId="0" applyFont="1" applyAlignment="1" applyProtection="1">
      <alignment vertical="center"/>
      <protection locked="0"/>
    </xf>
    <xf numFmtId="165" fontId="24" fillId="70" borderId="21" xfId="0" applyNumberFormat="1" applyFont="1" applyFill="1" applyBorder="1" applyAlignment="1" applyProtection="1">
      <alignment horizontal="center" vertical="center"/>
      <protection locked="0"/>
    </xf>
    <xf numFmtId="0" fontId="4" fillId="71" borderId="41" xfId="0" applyFont="1" applyFill="1" applyBorder="1" applyAlignment="1"/>
    <xf numFmtId="168" fontId="4" fillId="71" borderId="21" xfId="0" applyNumberFormat="1" applyFont="1" applyFill="1" applyBorder="1" applyAlignment="1"/>
    <xf numFmtId="168" fontId="4" fillId="71" borderId="33" xfId="0" applyNumberFormat="1" applyFont="1" applyFill="1" applyBorder="1" applyAlignment="1"/>
    <xf numFmtId="0" fontId="11" fillId="20" borderId="8" xfId="0" applyFont="1" applyFill="1" applyBorder="1" applyAlignment="1">
      <alignment horizontal="center"/>
    </xf>
    <xf numFmtId="0" fontId="11" fillId="20" borderId="34" xfId="0" applyFont="1" applyFill="1" applyBorder="1" applyAlignment="1">
      <alignment horizontal="center"/>
    </xf>
    <xf numFmtId="0" fontId="11" fillId="20" borderId="5" xfId="0" applyFont="1" applyFill="1" applyBorder="1" applyAlignment="1">
      <alignment horizontal="center"/>
    </xf>
    <xf numFmtId="0" fontId="11" fillId="20" borderId="38" xfId="0" applyFont="1" applyFill="1" applyBorder="1" applyAlignment="1">
      <alignment horizontal="center"/>
    </xf>
    <xf numFmtId="0" fontId="11" fillId="20" borderId="56" xfId="0" applyFont="1" applyFill="1" applyBorder="1" applyAlignment="1">
      <alignment horizontal="center"/>
    </xf>
    <xf numFmtId="0" fontId="31" fillId="4" borderId="3" xfId="0" applyFont="1" applyFill="1" applyBorder="1" applyAlignment="1">
      <alignment horizontal="center" vertical="center" textRotation="90"/>
    </xf>
    <xf numFmtId="0" fontId="31" fillId="20" borderId="59" xfId="0" applyFont="1" applyFill="1" applyBorder="1" applyAlignment="1">
      <alignment horizontal="center" vertical="center" textRotation="90"/>
    </xf>
    <xf numFmtId="0" fontId="11" fillId="20" borderId="52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 vertical="center" textRotation="90"/>
    </xf>
    <xf numFmtId="0" fontId="15" fillId="4" borderId="0" xfId="0" applyFont="1" applyFill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165" fontId="13" fillId="16" borderId="31" xfId="0" applyNumberFormat="1" applyFont="1" applyFill="1" applyBorder="1" applyAlignment="1" applyProtection="1">
      <alignment horizontal="center" vertical="center"/>
      <protection locked="0"/>
    </xf>
    <xf numFmtId="165" fontId="13" fillId="14" borderId="3" xfId="0" applyNumberFormat="1" applyFont="1" applyFill="1" applyBorder="1" applyAlignment="1" applyProtection="1">
      <alignment horizontal="center" vertical="center"/>
      <protection locked="0"/>
    </xf>
    <xf numFmtId="165" fontId="13" fillId="13" borderId="31" xfId="0" applyNumberFormat="1" applyFont="1" applyFill="1" applyBorder="1" applyAlignment="1" applyProtection="1">
      <alignment horizontal="center" vertical="center"/>
      <protection locked="0"/>
    </xf>
    <xf numFmtId="0" fontId="16" fillId="17" borderId="29" xfId="0" applyFont="1" applyFill="1" applyBorder="1" applyAlignment="1" applyProtection="1">
      <alignment horizontal="center" vertical="center"/>
      <protection locked="0"/>
    </xf>
    <xf numFmtId="0" fontId="17" fillId="17" borderId="14" xfId="0" applyFont="1" applyFill="1" applyBorder="1" applyAlignment="1" applyProtection="1">
      <alignment horizontal="center" vertical="center"/>
      <protection locked="0"/>
    </xf>
    <xf numFmtId="0" fontId="14" fillId="17" borderId="14" xfId="0" applyFont="1" applyFill="1" applyBorder="1" applyAlignment="1" applyProtection="1">
      <alignment horizontal="center" vertical="center"/>
      <protection locked="0"/>
    </xf>
    <xf numFmtId="0" fontId="15" fillId="17" borderId="14" xfId="0" applyFont="1" applyFill="1" applyBorder="1" applyAlignment="1" applyProtection="1">
      <alignment horizontal="center" vertical="center"/>
      <protection locked="0"/>
    </xf>
    <xf numFmtId="0" fontId="14" fillId="17" borderId="29" xfId="0" applyFont="1" applyFill="1" applyBorder="1" applyAlignment="1" applyProtection="1">
      <alignment horizontal="center" vertical="center"/>
      <protection locked="0"/>
    </xf>
    <xf numFmtId="0" fontId="43" fillId="7" borderId="3" xfId="4" applyFont="1" applyFill="1" applyBorder="1" applyAlignment="1">
      <alignment horizontal="center" vertical="center" wrapText="1"/>
    </xf>
    <xf numFmtId="0" fontId="43" fillId="0" borderId="3" xfId="4" applyFont="1" applyBorder="1" applyAlignment="1">
      <alignment horizontal="center" vertical="center" wrapText="1"/>
    </xf>
    <xf numFmtId="0" fontId="4" fillId="16" borderId="1" xfId="4" applyFont="1" applyFill="1" applyBorder="1" applyAlignment="1" applyProtection="1">
      <alignment horizontal="center" vertical="center"/>
      <protection locked="0"/>
    </xf>
    <xf numFmtId="0" fontId="4" fillId="16" borderId="2" xfId="4" applyFont="1" applyFill="1" applyBorder="1" applyAlignment="1" applyProtection="1">
      <alignment horizontal="center" vertical="center"/>
      <protection locked="0"/>
    </xf>
    <xf numFmtId="0" fontId="4" fillId="16" borderId="4" xfId="4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50" fillId="0" borderId="31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50" fillId="0" borderId="70" xfId="0" applyFont="1" applyBorder="1" applyAlignment="1">
      <alignment horizontal="center" vertical="center"/>
    </xf>
    <xf numFmtId="0" fontId="50" fillId="0" borderId="7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0" fillId="0" borderId="6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43" xfId="0" applyFill="1" applyBorder="1" applyAlignment="1">
      <alignment horizontal="center"/>
    </xf>
    <xf numFmtId="0" fontId="53" fillId="3" borderId="43" xfId="0" applyFont="1" applyFill="1" applyBorder="1" applyAlignment="1">
      <alignment horizontal="center"/>
    </xf>
    <xf numFmtId="0" fontId="50" fillId="0" borderId="52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/>
    </xf>
    <xf numFmtId="0" fontId="50" fillId="0" borderId="6" xfId="0" applyFont="1" applyBorder="1" applyAlignment="1">
      <alignment horizontal="center"/>
    </xf>
    <xf numFmtId="0" fontId="50" fillId="0" borderId="59" xfId="0" applyFont="1" applyBorder="1" applyAlignment="1">
      <alignment horizontal="center"/>
    </xf>
    <xf numFmtId="0" fontId="50" fillId="0" borderId="46" xfId="0" applyFont="1" applyBorder="1" applyAlignment="1">
      <alignment horizontal="center"/>
    </xf>
    <xf numFmtId="0" fontId="50" fillId="0" borderId="49" xfId="0" applyFont="1" applyBorder="1" applyAlignment="1">
      <alignment horizontal="center"/>
    </xf>
  </cellXfs>
  <cellStyles count="5">
    <cellStyle name="Hipervínculo 2" xfId="1" xr:uid="{00000000-0005-0000-0000-000006000000}"/>
    <cellStyle name="Hipervínculo 3" xfId="2" xr:uid="{00000000-0005-0000-0000-000007000000}"/>
    <cellStyle name="Normal" xfId="0" builtinId="0"/>
    <cellStyle name="Normal 2" xfId="3" xr:uid="{00000000-0005-0000-0000-000008000000}"/>
    <cellStyle name="Normal 3" xfId="4" xr:uid="{00000000-0005-0000-0000-000009000000}"/>
  </cellStyles>
  <dxfs count="3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9C0006"/>
      <rgbColor rgb="FF006100"/>
      <rgbColor rgb="FF000080"/>
      <rgbColor rgb="FF948A54"/>
      <rgbColor rgb="FFF4F4F4"/>
      <rgbColor rgb="FF00B050"/>
      <rgbColor rgb="FFC0C0C0"/>
      <rgbColor rgb="FF707070"/>
      <rgbColor rgb="FF8EB4E3"/>
      <rgbColor rgb="FF953735"/>
      <rgbColor rgb="FFEBF1DE"/>
      <rgbColor rgb="FFDCE6F2"/>
      <rgbColor rgb="FF660066"/>
      <rgbColor rgb="FFE6B9B8"/>
      <rgbColor rgb="FF0070C0"/>
      <rgbColor rgb="FFC6D9F1"/>
      <rgbColor rgb="FF000080"/>
      <rgbColor rgb="FFE6E0EC"/>
      <rgbColor rgb="FFC3D69B"/>
      <rgbColor rgb="FFB9CDE5"/>
      <rgbColor rgb="FF800080"/>
      <rgbColor rgb="FFC00000"/>
      <rgbColor rgb="FFCCC1DA"/>
      <rgbColor rgb="FF0000FF"/>
      <rgbColor rgb="FF00B0F0"/>
      <rgbColor rgb="FFF2F2F2"/>
      <rgbColor rgb="FFC6EFCE"/>
      <rgbColor rgb="FFFDEADA"/>
      <rgbColor rgb="FF93CDDD"/>
      <rgbColor rgb="FFF38BF3"/>
      <rgbColor rgb="FFB3A2C7"/>
      <rgbColor rgb="FFFCD5B5"/>
      <rgbColor rgb="FF95B3D7"/>
      <rgbColor rgb="FF729FCF"/>
      <rgbColor rgb="FF92D050"/>
      <rgbColor rgb="FFFFC000"/>
      <rgbColor rgb="FFC4BD97"/>
      <rgbColor rgb="FFE46C0A"/>
      <rgbColor rgb="FF558ED5"/>
      <rgbColor rgb="FFA6A6A6"/>
      <rgbColor rgb="FF003366"/>
      <rgbColor rgb="FF31859C"/>
      <rgbColor rgb="FF003300"/>
      <rgbColor rgb="FFEEECE1"/>
      <rgbColor rgb="FFFFC7CE"/>
      <rgbColor rgb="FFBFBFBF"/>
      <rgbColor rgb="FFD9D9D9"/>
      <rgbColor rgb="FFDDD9C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9EA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B9B8"/>
    <pageSetUpPr fitToPage="1"/>
  </sheetPr>
  <dimension ref="A1:AE163"/>
  <sheetViews>
    <sheetView zoomScale="85" zoomScaleNormal="85" workbookViewId="0">
      <pane xSplit="5" ySplit="24" topLeftCell="F32" activePane="bottomRight" state="frozen"/>
      <selection pane="topRight" activeCell="F1" sqref="F1"/>
      <selection pane="bottomLeft" activeCell="A25" sqref="A25"/>
      <selection pane="bottomRight" activeCell="O104" sqref="O104"/>
    </sheetView>
  </sheetViews>
  <sheetFormatPr baseColWidth="10" defaultColWidth="11.42578125" defaultRowHeight="15" x14ac:dyDescent="0.2"/>
  <cols>
    <col min="1" max="1" width="13.85546875" style="1" customWidth="1"/>
    <col min="2" max="2" width="40.5703125" style="1" customWidth="1"/>
    <col min="3" max="3" width="20.140625" style="1" customWidth="1"/>
    <col min="4" max="4" width="6.5703125" style="1" customWidth="1"/>
    <col min="5" max="5" width="23.5703125" style="2" customWidth="1"/>
    <col min="6" max="14" width="15.5703125" style="3" customWidth="1"/>
    <col min="15" max="15" width="15.42578125" style="3" customWidth="1"/>
    <col min="16" max="16" width="15.5703125" style="3" customWidth="1"/>
    <col min="17" max="17" width="15.5703125" style="4" customWidth="1"/>
    <col min="18" max="18" width="17.28515625" style="5" bestFit="1" customWidth="1"/>
    <col min="19" max="19" width="18.140625" style="4" customWidth="1"/>
    <col min="20" max="21" width="15.28515625" style="3" customWidth="1"/>
    <col min="22" max="22" width="10.42578125" style="3" customWidth="1"/>
    <col min="23" max="23" width="11.42578125" style="3" bestFit="1" customWidth="1"/>
    <col min="24" max="24" width="11.5703125" style="3" customWidth="1"/>
    <col min="25" max="25" width="15.140625" style="3" customWidth="1"/>
    <col min="26" max="26" width="13" style="3" customWidth="1"/>
    <col min="27" max="29" width="11.42578125" style="3"/>
    <col min="30" max="30" width="15.140625" style="3" customWidth="1"/>
    <col min="31" max="31" width="13.7109375" style="3" customWidth="1"/>
    <col min="32" max="16384" width="11.42578125" style="3"/>
  </cols>
  <sheetData>
    <row r="1" spans="1:31" ht="18" customHeight="1" thickBot="1" x14ac:dyDescent="0.25">
      <c r="A1" s="6" t="s">
        <v>540</v>
      </c>
      <c r="B1" s="3" t="s">
        <v>541</v>
      </c>
      <c r="C1" s="3">
        <v>800</v>
      </c>
      <c r="D1" s="6"/>
      <c r="E1" s="3"/>
      <c r="G1" s="7" t="s">
        <v>0</v>
      </c>
      <c r="H1" s="8" t="s">
        <v>1</v>
      </c>
      <c r="I1" s="9" t="s">
        <v>2</v>
      </c>
      <c r="L1" s="10" t="s">
        <v>3</v>
      </c>
      <c r="M1" s="11" t="s">
        <v>4</v>
      </c>
      <c r="N1" s="12" t="s">
        <v>5</v>
      </c>
      <c r="O1" s="13" t="s">
        <v>6</v>
      </c>
      <c r="R1" s="13" t="s">
        <v>7</v>
      </c>
      <c r="S1" s="14"/>
      <c r="T1" s="15" t="s">
        <v>8</v>
      </c>
      <c r="U1" s="16" t="s">
        <v>9</v>
      </c>
      <c r="V1" s="16" t="s">
        <v>10</v>
      </c>
      <c r="W1" s="16"/>
      <c r="X1" s="16" t="s">
        <v>11</v>
      </c>
      <c r="Y1" s="17" t="s">
        <v>12</v>
      </c>
      <c r="Z1" s="18">
        <v>66500</v>
      </c>
      <c r="AA1" s="15" t="s">
        <v>8</v>
      </c>
      <c r="AB1" s="16" t="s">
        <v>9</v>
      </c>
      <c r="AC1" s="16" t="s">
        <v>11</v>
      </c>
      <c r="AD1" s="16" t="s">
        <v>13</v>
      </c>
      <c r="AE1" s="18">
        <v>29500</v>
      </c>
    </row>
    <row r="2" spans="1:31" ht="18" customHeight="1" x14ac:dyDescent="0.2">
      <c r="A2" s="19"/>
      <c r="B2" s="3" t="s">
        <v>542</v>
      </c>
      <c r="C2" s="3">
        <v>500</v>
      </c>
      <c r="D2" s="3"/>
      <c r="E2" s="20"/>
      <c r="F2" s="21">
        <v>46023</v>
      </c>
      <c r="G2" s="22">
        <v>6070.02</v>
      </c>
      <c r="H2" s="23">
        <v>3232.92</v>
      </c>
      <c r="I2" s="24">
        <v>15.314</v>
      </c>
      <c r="J2" s="25">
        <f>G2+H2+I2</f>
        <v>9318.2540000000008</v>
      </c>
      <c r="L2" s="26">
        <v>0</v>
      </c>
      <c r="M2" s="27">
        <v>1705.37</v>
      </c>
      <c r="N2" s="28">
        <v>1905.37</v>
      </c>
      <c r="O2" s="25">
        <f>SUM(L2:N2)</f>
        <v>3610.74</v>
      </c>
      <c r="R2" s="29">
        <f>I2+O2</f>
        <v>3626.0539999999996</v>
      </c>
      <c r="S2" s="4">
        <v>1</v>
      </c>
      <c r="T2" s="835" t="s">
        <v>14</v>
      </c>
      <c r="U2" s="836">
        <v>7000</v>
      </c>
      <c r="V2" s="836"/>
      <c r="W2" s="837">
        <v>15400</v>
      </c>
      <c r="X2" s="836"/>
      <c r="Y2" s="836">
        <f>Z1-U2-V2-W2-X2</f>
        <v>44100</v>
      </c>
      <c r="Z2" s="31"/>
      <c r="AA2" s="835" t="s">
        <v>14</v>
      </c>
      <c r="AB2" s="836">
        <v>6000</v>
      </c>
      <c r="AC2" s="836"/>
      <c r="AD2" s="836">
        <f>AE1-AB2-AC2</f>
        <v>23500</v>
      </c>
      <c r="AE2" s="31"/>
    </row>
    <row r="3" spans="1:31" ht="18" customHeight="1" thickBot="1" x14ac:dyDescent="0.25">
      <c r="A3" s="3"/>
      <c r="B3" s="3" t="s">
        <v>543</v>
      </c>
      <c r="C3" s="3">
        <v>275</v>
      </c>
      <c r="D3" s="3"/>
      <c r="E3" s="20"/>
      <c r="F3" s="32">
        <v>46387</v>
      </c>
      <c r="G3" s="33">
        <f>Q15</f>
        <v>3605.6700000000023</v>
      </c>
      <c r="H3" s="34">
        <f>Q16</f>
        <v>3597.3700000000008</v>
      </c>
      <c r="I3" s="35">
        <f>Q17</f>
        <v>2269.9839999999999</v>
      </c>
      <c r="J3" s="36">
        <f>G3+H3+I3</f>
        <v>9473.0240000000031</v>
      </c>
      <c r="L3" s="37">
        <v>0</v>
      </c>
      <c r="M3" s="38">
        <f>Q18</f>
        <v>2122.5899999999988</v>
      </c>
      <c r="N3" s="39">
        <f>Q19</f>
        <v>2322.5899999999988</v>
      </c>
      <c r="O3" s="36">
        <f>SUM(L3:N3)</f>
        <v>4445.1799999999976</v>
      </c>
      <c r="R3" s="40">
        <f>I3+O3</f>
        <v>6715.163999999997</v>
      </c>
      <c r="S3" s="4">
        <v>2</v>
      </c>
      <c r="T3" s="41" t="s">
        <v>15</v>
      </c>
      <c r="U3" s="30">
        <v>8400</v>
      </c>
      <c r="V3" s="30"/>
      <c r="W3" s="42">
        <v>5000</v>
      </c>
      <c r="X3" s="30"/>
      <c r="Y3" s="30">
        <f>Y2-U3-V3-W3-X3</f>
        <v>30700</v>
      </c>
      <c r="Z3" s="31"/>
      <c r="AA3" s="41" t="s">
        <v>15</v>
      </c>
      <c r="AB3" s="30">
        <v>6000</v>
      </c>
      <c r="AC3" s="30"/>
      <c r="AD3" s="30">
        <f>AD2-AB3-AC3</f>
        <v>17500</v>
      </c>
      <c r="AE3" s="31"/>
    </row>
    <row r="4" spans="1:31" ht="18" customHeight="1" thickBot="1" x14ac:dyDescent="0.25">
      <c r="A4" s="3"/>
      <c r="B4" s="3" t="s">
        <v>544</v>
      </c>
      <c r="C4" s="3">
        <v>550</v>
      </c>
      <c r="D4" s="3"/>
      <c r="E4" s="20"/>
      <c r="F4" s="43" t="s">
        <v>16</v>
      </c>
      <c r="G4" s="44">
        <f>G3-G2</f>
        <v>-2464.3499999999981</v>
      </c>
      <c r="H4" s="45">
        <f>H3-H2</f>
        <v>364.45000000000073</v>
      </c>
      <c r="I4" s="46">
        <f>I3-I2</f>
        <v>2254.67</v>
      </c>
      <c r="J4" s="47">
        <f>G4+H4+I4</f>
        <v>154.77000000000271</v>
      </c>
      <c r="L4" s="48">
        <f>L3-L2</f>
        <v>0</v>
      </c>
      <c r="M4" s="49">
        <f>M3-M2</f>
        <v>417.21999999999889</v>
      </c>
      <c r="N4" s="50">
        <f>N3-N2</f>
        <v>417.21999999999889</v>
      </c>
      <c r="O4" s="51">
        <f>SUM(L4:N4)</f>
        <v>834.43999999999778</v>
      </c>
      <c r="R4" s="52"/>
      <c r="S4" s="53">
        <v>3</v>
      </c>
      <c r="T4" s="41" t="s">
        <v>17</v>
      </c>
      <c r="U4" s="30">
        <v>8800</v>
      </c>
      <c r="V4" s="30"/>
      <c r="W4" s="42">
        <v>5000</v>
      </c>
      <c r="X4" s="30"/>
      <c r="Y4" s="30">
        <f>Y3-U4-V4-W4-X4</f>
        <v>16900</v>
      </c>
      <c r="Z4" s="31"/>
      <c r="AA4" s="41" t="s">
        <v>17</v>
      </c>
      <c r="AB4" s="30">
        <v>6000</v>
      </c>
      <c r="AC4" s="30"/>
      <c r="AD4" s="30">
        <f>AD3-AB4-AC4</f>
        <v>11500</v>
      </c>
      <c r="AE4" s="31"/>
    </row>
    <row r="5" spans="1:31" ht="18" customHeight="1" thickBot="1" x14ac:dyDescent="0.25">
      <c r="C5" s="1109">
        <f>SUM(C1:C4)</f>
        <v>2125</v>
      </c>
      <c r="E5" s="2" t="s">
        <v>18</v>
      </c>
      <c r="F5" s="43" t="s">
        <v>19</v>
      </c>
      <c r="G5" s="44">
        <f>G3-G2+F92+J92</f>
        <v>-2464.3499999999981</v>
      </c>
      <c r="H5" s="45">
        <f>H3-H2</f>
        <v>364.45000000000073</v>
      </c>
      <c r="I5" s="46">
        <f>I3-I2</f>
        <v>2254.67</v>
      </c>
      <c r="J5" s="47">
        <f>G5+H5+I5</f>
        <v>154.77000000000271</v>
      </c>
      <c r="L5" s="48">
        <f>L3-L2</f>
        <v>0</v>
      </c>
      <c r="M5" s="49">
        <f>M3-M2</f>
        <v>417.21999999999889</v>
      </c>
      <c r="N5" s="50">
        <f>N3-N2</f>
        <v>417.21999999999889</v>
      </c>
      <c r="O5" s="51">
        <f>SUM(L5:N5)</f>
        <v>834.43999999999778</v>
      </c>
      <c r="R5" s="54">
        <f>I5+O5</f>
        <v>3089.1099999999979</v>
      </c>
      <c r="S5" s="4">
        <v>4</v>
      </c>
      <c r="T5" s="41" t="s">
        <v>20</v>
      </c>
      <c r="U5" s="30">
        <v>9300</v>
      </c>
      <c r="V5" s="30"/>
      <c r="W5" s="42">
        <v>7500</v>
      </c>
      <c r="X5" s="30"/>
      <c r="Y5" s="979">
        <f>Y4-U5-V5-W5-X5</f>
        <v>100</v>
      </c>
      <c r="Z5" s="31"/>
      <c r="AA5" s="41" t="s">
        <v>20</v>
      </c>
      <c r="AB5" s="30">
        <v>9300</v>
      </c>
      <c r="AC5" s="30"/>
      <c r="AD5" s="979">
        <f>AD4-AB5-AC5</f>
        <v>2200</v>
      </c>
      <c r="AE5" s="31"/>
    </row>
    <row r="6" spans="1:31" ht="18" customHeight="1" x14ac:dyDescent="0.2">
      <c r="F6" s="53"/>
      <c r="G6" s="20"/>
      <c r="L6" s="20"/>
      <c r="M6" s="20"/>
      <c r="N6" s="20"/>
      <c r="O6" s="20"/>
      <c r="R6" s="20"/>
      <c r="S6" s="53">
        <v>5</v>
      </c>
      <c r="T6" s="41" t="s">
        <v>21</v>
      </c>
      <c r="U6" s="30">
        <v>9600</v>
      </c>
      <c r="V6" s="30"/>
      <c r="W6" s="42"/>
      <c r="X6" s="30"/>
      <c r="Y6" s="30">
        <f>Y5-U6-V6-W6-X6</f>
        <v>-9500</v>
      </c>
      <c r="Z6" s="31"/>
      <c r="AA6" s="41" t="s">
        <v>21</v>
      </c>
      <c r="AB6" s="30">
        <v>9600</v>
      </c>
      <c r="AC6" s="30"/>
      <c r="AD6" s="30">
        <f>AD5-AB6-AC6</f>
        <v>-7400</v>
      </c>
      <c r="AE6" s="31"/>
    </row>
    <row r="7" spans="1:31" ht="18" customHeight="1" thickBot="1" x14ac:dyDescent="0.25">
      <c r="F7" s="53"/>
      <c r="G7" s="20"/>
      <c r="H7" s="20"/>
      <c r="I7" s="20"/>
      <c r="J7" s="20"/>
      <c r="K7" s="20"/>
      <c r="L7" s="20"/>
      <c r="M7" s="20"/>
      <c r="N7" s="20"/>
      <c r="O7" s="20"/>
      <c r="R7" s="20"/>
      <c r="S7" s="4">
        <v>6</v>
      </c>
      <c r="T7" s="56" t="s">
        <v>22</v>
      </c>
      <c r="U7" s="57">
        <v>6003</v>
      </c>
      <c r="V7" s="57"/>
      <c r="W7" s="58"/>
      <c r="X7" s="57"/>
      <c r="Y7" s="57">
        <f>Y6-U7-V7-W7-X7</f>
        <v>-15503</v>
      </c>
      <c r="Z7" s="59"/>
      <c r="AA7" s="56" t="s">
        <v>22</v>
      </c>
      <c r="AB7" s="57">
        <v>6003</v>
      </c>
      <c r="AC7" s="57"/>
      <c r="AD7" s="57">
        <f>AD6-AB7-AC7</f>
        <v>-13403</v>
      </c>
      <c r="AE7" s="59"/>
    </row>
    <row r="8" spans="1:31" ht="18" customHeight="1" x14ac:dyDescent="0.2"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1:31" ht="18" customHeight="1" x14ac:dyDescent="0.2">
      <c r="A9" s="60"/>
      <c r="B9" s="61" t="s">
        <v>23</v>
      </c>
      <c r="C9" s="60"/>
      <c r="D9" s="60"/>
      <c r="E9" s="62"/>
      <c r="F9" s="70">
        <f>G2</f>
        <v>6070.02</v>
      </c>
      <c r="G9" s="70">
        <f t="shared" ref="G9:Q9" si="0">F15</f>
        <v>5146.2800000000016</v>
      </c>
      <c r="H9" s="71">
        <f t="shared" si="0"/>
        <v>6081.170000000001</v>
      </c>
      <c r="I9" s="71">
        <f t="shared" si="0"/>
        <v>4416.6100000000015</v>
      </c>
      <c r="J9" s="72">
        <f t="shared" si="0"/>
        <v>5348.760000000002</v>
      </c>
      <c r="K9" s="70">
        <f t="shared" si="0"/>
        <v>5485.050000000002</v>
      </c>
      <c r="L9" s="70">
        <f t="shared" si="0"/>
        <v>3697.1800000000021</v>
      </c>
      <c r="M9" s="70">
        <f t="shared" si="0"/>
        <v>7035.0300000000034</v>
      </c>
      <c r="N9" s="70">
        <f t="shared" si="0"/>
        <v>4500.9000000000033</v>
      </c>
      <c r="O9" s="70">
        <f t="shared" si="0"/>
        <v>3699.2500000000027</v>
      </c>
      <c r="P9" s="70">
        <f t="shared" si="0"/>
        <v>3606.0100000000025</v>
      </c>
      <c r="Q9" s="70">
        <f t="shared" si="0"/>
        <v>3697.510000000002</v>
      </c>
      <c r="R9" s="63">
        <f>SUM(F9:Q9)</f>
        <v>58783.770000000026</v>
      </c>
    </row>
    <row r="10" spans="1:31" ht="18" customHeight="1" x14ac:dyDescent="0.2">
      <c r="A10" s="64"/>
      <c r="B10" s="64" t="s">
        <v>24</v>
      </c>
      <c r="C10" s="64"/>
      <c r="D10" s="64"/>
      <c r="E10" s="62"/>
      <c r="F10" s="74">
        <f>H2</f>
        <v>3232.92</v>
      </c>
      <c r="G10" s="74">
        <f t="shared" ref="G10:Q10" si="1">F16</f>
        <v>3912.6600000000003</v>
      </c>
      <c r="H10" s="74">
        <f t="shared" si="1"/>
        <v>3646.6</v>
      </c>
      <c r="I10" s="74">
        <f t="shared" si="1"/>
        <v>3463.1700000000005</v>
      </c>
      <c r="J10" s="74">
        <f t="shared" si="1"/>
        <v>1020.9200000000005</v>
      </c>
      <c r="K10" s="74">
        <f t="shared" si="1"/>
        <v>2974.03</v>
      </c>
      <c r="L10" s="74">
        <f t="shared" si="1"/>
        <v>3383.7700000000004</v>
      </c>
      <c r="M10" s="74">
        <f t="shared" si="1"/>
        <v>3405.9700000000003</v>
      </c>
      <c r="N10" s="74">
        <f t="shared" si="1"/>
        <v>1545.2400000000007</v>
      </c>
      <c r="O10" s="74">
        <f t="shared" si="1"/>
        <v>2223.0400000000009</v>
      </c>
      <c r="P10" s="74">
        <f t="shared" si="1"/>
        <v>2620.4500000000012</v>
      </c>
      <c r="Q10" s="74">
        <f t="shared" si="1"/>
        <v>3269.5700000000006</v>
      </c>
      <c r="R10" s="63">
        <f>SUM(F10:Q10)</f>
        <v>34698.340000000004</v>
      </c>
    </row>
    <row r="11" spans="1:31" ht="18" customHeight="1" x14ac:dyDescent="0.2">
      <c r="A11" s="66"/>
      <c r="B11" s="66" t="s">
        <v>25</v>
      </c>
      <c r="C11" s="66"/>
      <c r="D11" s="66"/>
      <c r="E11" s="62"/>
      <c r="F11" s="76">
        <f>I2</f>
        <v>15.314</v>
      </c>
      <c r="G11" s="76">
        <f>F17</f>
        <v>470.87399999999991</v>
      </c>
      <c r="H11" s="76">
        <f t="shared" ref="H11:Q11" si="2">G17</f>
        <v>269.8839999999999</v>
      </c>
      <c r="I11" s="76">
        <f t="shared" si="2"/>
        <v>629.8839999999999</v>
      </c>
      <c r="J11" s="76">
        <f t="shared" si="2"/>
        <v>1128.8340000000001</v>
      </c>
      <c r="K11" s="76">
        <f t="shared" si="2"/>
        <v>1321.414</v>
      </c>
      <c r="L11" s="76">
        <f t="shared" si="2"/>
        <v>1685.0039999999999</v>
      </c>
      <c r="M11" s="76">
        <f t="shared" si="2"/>
        <v>1871.0439999999999</v>
      </c>
      <c r="N11" s="76">
        <f t="shared" si="2"/>
        <v>2269.9839999999999</v>
      </c>
      <c r="O11" s="76">
        <f t="shared" si="2"/>
        <v>2269.9839999999999</v>
      </c>
      <c r="P11" s="76">
        <f t="shared" si="2"/>
        <v>2269.9839999999999</v>
      </c>
      <c r="Q11" s="76">
        <f t="shared" si="2"/>
        <v>2269.9839999999999</v>
      </c>
      <c r="R11" s="63">
        <f>SUM(F11:Q11)</f>
        <v>16472.187999999998</v>
      </c>
      <c r="T11" s="3" t="s">
        <v>26</v>
      </c>
    </row>
    <row r="12" spans="1:31" ht="18" customHeight="1" x14ac:dyDescent="0.2">
      <c r="A12" s="67"/>
      <c r="B12" s="67" t="s">
        <v>27</v>
      </c>
      <c r="C12" s="67"/>
      <c r="D12" s="67"/>
      <c r="E12" s="62"/>
      <c r="F12" s="78">
        <f>M2</f>
        <v>1705.37</v>
      </c>
      <c r="G12" s="78">
        <f t="shared" ref="G12:Q12" si="3">F18</f>
        <v>1739.2399999999998</v>
      </c>
      <c r="H12" s="78">
        <f t="shared" si="3"/>
        <v>1774.0899999999997</v>
      </c>
      <c r="I12" s="78">
        <f t="shared" si="3"/>
        <v>1808.9399999999996</v>
      </c>
      <c r="J12" s="78">
        <f t="shared" si="3"/>
        <v>1843.7899999999995</v>
      </c>
      <c r="K12" s="78">
        <f t="shared" si="3"/>
        <v>1878.6399999999994</v>
      </c>
      <c r="L12" s="78">
        <f t="shared" si="3"/>
        <v>1913.4899999999993</v>
      </c>
      <c r="M12" s="78">
        <f t="shared" si="3"/>
        <v>1948.3399999999992</v>
      </c>
      <c r="N12" s="78">
        <f t="shared" si="3"/>
        <v>1983.1899999999991</v>
      </c>
      <c r="O12" s="78">
        <f t="shared" si="3"/>
        <v>2018.0399999999991</v>
      </c>
      <c r="P12" s="78">
        <f t="shared" si="3"/>
        <v>2052.889999999999</v>
      </c>
      <c r="Q12" s="78">
        <f t="shared" si="3"/>
        <v>2087.7399999999989</v>
      </c>
      <c r="R12" s="63">
        <f>SUM(F12:Q12)</f>
        <v>22753.759999999995</v>
      </c>
    </row>
    <row r="13" spans="1:31" ht="18" customHeight="1" x14ac:dyDescent="0.2">
      <c r="A13" s="67"/>
      <c r="B13" s="67" t="s">
        <v>28</v>
      </c>
      <c r="C13" s="67"/>
      <c r="D13" s="67"/>
      <c r="E13" s="62"/>
      <c r="F13" s="78">
        <f>N2</f>
        <v>1905.37</v>
      </c>
      <c r="G13" s="78">
        <f t="shared" ref="G13:Q13" si="4">F19</f>
        <v>1939.2399999999998</v>
      </c>
      <c r="H13" s="78">
        <f t="shared" si="4"/>
        <v>1974.0899999999997</v>
      </c>
      <c r="I13" s="78">
        <f t="shared" si="4"/>
        <v>2008.9399999999996</v>
      </c>
      <c r="J13" s="78">
        <f t="shared" si="4"/>
        <v>2043.7899999999995</v>
      </c>
      <c r="K13" s="78">
        <f t="shared" si="4"/>
        <v>2078.6399999999994</v>
      </c>
      <c r="L13" s="78">
        <f t="shared" si="4"/>
        <v>2113.4899999999993</v>
      </c>
      <c r="M13" s="78">
        <f t="shared" si="4"/>
        <v>2148.3399999999992</v>
      </c>
      <c r="N13" s="78">
        <f t="shared" si="4"/>
        <v>2183.1899999999991</v>
      </c>
      <c r="O13" s="78">
        <f t="shared" si="4"/>
        <v>2218.0399999999991</v>
      </c>
      <c r="P13" s="78">
        <f t="shared" si="4"/>
        <v>2252.889999999999</v>
      </c>
      <c r="Q13" s="78">
        <f t="shared" si="4"/>
        <v>2287.7399999999989</v>
      </c>
      <c r="R13" s="63">
        <f>SUM(F13:Q13)</f>
        <v>25153.759999999995</v>
      </c>
    </row>
    <row r="14" spans="1:31" ht="18" customHeight="1" thickBot="1" x14ac:dyDescent="0.25">
      <c r="A14" s="68"/>
      <c r="B14" s="68"/>
      <c r="C14" s="68"/>
      <c r="D14" s="68"/>
      <c r="E14" s="69"/>
      <c r="F14" s="19">
        <f t="shared" ref="F14:Q14" si="5">SUM(F9:F11)</f>
        <v>9318.2540000000008</v>
      </c>
      <c r="G14" s="19">
        <f t="shared" si="5"/>
        <v>9529.8140000000021</v>
      </c>
      <c r="H14" s="19">
        <f t="shared" si="5"/>
        <v>9997.6540000000005</v>
      </c>
      <c r="I14" s="19">
        <f t="shared" si="5"/>
        <v>8509.6640000000025</v>
      </c>
      <c r="J14" s="19">
        <f t="shared" si="5"/>
        <v>7498.5140000000019</v>
      </c>
      <c r="K14" s="19">
        <f t="shared" si="5"/>
        <v>9780.4940000000024</v>
      </c>
      <c r="L14" s="19">
        <f t="shared" si="5"/>
        <v>8765.9540000000015</v>
      </c>
      <c r="M14" s="19">
        <f t="shared" si="5"/>
        <v>12312.044000000004</v>
      </c>
      <c r="N14" s="19">
        <f t="shared" si="5"/>
        <v>8316.1240000000034</v>
      </c>
      <c r="O14" s="19">
        <f t="shared" si="5"/>
        <v>8192.2740000000031</v>
      </c>
      <c r="P14" s="19">
        <f t="shared" si="5"/>
        <v>8496.4440000000031</v>
      </c>
      <c r="Q14" s="19">
        <f t="shared" si="5"/>
        <v>9237.0640000000021</v>
      </c>
      <c r="R14" s="63"/>
    </row>
    <row r="15" spans="1:31" ht="18" customHeight="1" thickBot="1" x14ac:dyDescent="0.25">
      <c r="A15" s="60"/>
      <c r="B15" s="61" t="s">
        <v>29</v>
      </c>
      <c r="C15" s="60"/>
      <c r="D15" s="60"/>
      <c r="E15" s="62"/>
      <c r="F15" s="70">
        <f>F9+F150-F151</f>
        <v>5146.2800000000016</v>
      </c>
      <c r="G15" s="70">
        <f t="shared" ref="G15:Q15" si="6">G9+G150-G151</f>
        <v>6081.170000000001</v>
      </c>
      <c r="H15" s="70">
        <f t="shared" si="6"/>
        <v>4416.6100000000015</v>
      </c>
      <c r="I15" s="70">
        <f t="shared" si="6"/>
        <v>5348.760000000002</v>
      </c>
      <c r="J15" s="70">
        <f t="shared" si="6"/>
        <v>5485.050000000002</v>
      </c>
      <c r="K15" s="70">
        <f t="shared" si="6"/>
        <v>3697.1800000000021</v>
      </c>
      <c r="L15" s="70">
        <f>L9+L150-L151</f>
        <v>7035.0300000000034</v>
      </c>
      <c r="M15" s="70">
        <f t="shared" si="6"/>
        <v>4500.9000000000033</v>
      </c>
      <c r="N15" s="70">
        <f t="shared" si="6"/>
        <v>3699.2500000000027</v>
      </c>
      <c r="O15" s="70">
        <f t="shared" si="6"/>
        <v>3606.0100000000025</v>
      </c>
      <c r="P15" s="70">
        <f t="shared" si="6"/>
        <v>3697.510000000002</v>
      </c>
      <c r="Q15" s="70">
        <f t="shared" si="6"/>
        <v>3605.6700000000023</v>
      </c>
      <c r="R15" s="63">
        <f>SUM(F15:Q15)</f>
        <v>56319.420000000027</v>
      </c>
      <c r="S15" s="73">
        <f>R15-R9</f>
        <v>-2464.3499999999985</v>
      </c>
      <c r="T15" s="1125">
        <f>S15+S16+S17</f>
        <v>154.77000000000771</v>
      </c>
      <c r="U15" s="1126">
        <f>T18+T15</f>
        <v>989.21000000000276</v>
      </c>
    </row>
    <row r="16" spans="1:31" ht="18" customHeight="1" thickBot="1" x14ac:dyDescent="0.25">
      <c r="A16" s="64"/>
      <c r="B16" s="64" t="s">
        <v>30</v>
      </c>
      <c r="C16" s="64"/>
      <c r="D16" s="64"/>
      <c r="E16" s="62"/>
      <c r="F16" s="74">
        <f t="shared" ref="F16:Q16" si="7">F10+F153-F154</f>
        <v>3912.6600000000003</v>
      </c>
      <c r="G16" s="74">
        <f t="shared" si="7"/>
        <v>3646.6</v>
      </c>
      <c r="H16" s="74">
        <f t="shared" si="7"/>
        <v>3463.1700000000005</v>
      </c>
      <c r="I16" s="74">
        <f t="shared" si="7"/>
        <v>1020.9200000000005</v>
      </c>
      <c r="J16" s="74">
        <f t="shared" si="7"/>
        <v>2974.03</v>
      </c>
      <c r="K16" s="74">
        <f t="shared" si="7"/>
        <v>3383.7700000000004</v>
      </c>
      <c r="L16" s="74">
        <f>L10+L153-L154</f>
        <v>3405.9700000000003</v>
      </c>
      <c r="M16" s="74">
        <f>M10+M153-M154</f>
        <v>1545.2400000000007</v>
      </c>
      <c r="N16" s="74">
        <f t="shared" si="7"/>
        <v>2223.0400000000009</v>
      </c>
      <c r="O16" s="74">
        <f t="shared" si="7"/>
        <v>2620.4500000000012</v>
      </c>
      <c r="P16" s="74">
        <f t="shared" si="7"/>
        <v>3269.5700000000006</v>
      </c>
      <c r="Q16" s="74">
        <f t="shared" si="7"/>
        <v>3597.3700000000008</v>
      </c>
      <c r="R16" s="63">
        <f>SUM(F16:Q16)</f>
        <v>35062.790000000008</v>
      </c>
      <c r="S16" s="75">
        <f>R16-R10</f>
        <v>364.45000000000437</v>
      </c>
      <c r="T16" s="1125"/>
      <c r="U16" s="1126"/>
    </row>
    <row r="17" spans="1:21" ht="18" customHeight="1" thickBot="1" x14ac:dyDescent="0.25">
      <c r="A17" s="66"/>
      <c r="B17" s="66" t="s">
        <v>31</v>
      </c>
      <c r="C17" s="66"/>
      <c r="D17" s="66"/>
      <c r="E17" s="62"/>
      <c r="F17" s="76">
        <f t="shared" ref="F17:K17" si="8">F11+F156-F157</f>
        <v>470.87399999999991</v>
      </c>
      <c r="G17" s="76">
        <f t="shared" si="8"/>
        <v>269.8839999999999</v>
      </c>
      <c r="H17" s="76">
        <f t="shared" si="8"/>
        <v>629.8839999999999</v>
      </c>
      <c r="I17" s="76">
        <f t="shared" si="8"/>
        <v>1128.8340000000001</v>
      </c>
      <c r="J17" s="76">
        <f t="shared" si="8"/>
        <v>1321.414</v>
      </c>
      <c r="K17" s="76">
        <f t="shared" si="8"/>
        <v>1685.0039999999999</v>
      </c>
      <c r="L17" s="76">
        <f>L11+L156-L157</f>
        <v>1871.0439999999999</v>
      </c>
      <c r="M17" s="76">
        <f t="shared" ref="M17:Q17" si="9">M11+M156-M157</f>
        <v>2269.9839999999999</v>
      </c>
      <c r="N17" s="76">
        <f t="shared" si="9"/>
        <v>2269.9839999999999</v>
      </c>
      <c r="O17" s="76">
        <f t="shared" si="9"/>
        <v>2269.9839999999999</v>
      </c>
      <c r="P17" s="76">
        <f t="shared" si="9"/>
        <v>2269.9839999999999</v>
      </c>
      <c r="Q17" s="76">
        <f t="shared" si="9"/>
        <v>2269.9839999999999</v>
      </c>
      <c r="R17" s="63">
        <f>SUM(F17:Q17)</f>
        <v>18726.858</v>
      </c>
      <c r="S17" s="77">
        <f>R17-R11</f>
        <v>2254.6700000000019</v>
      </c>
      <c r="T17" s="1125"/>
      <c r="U17" s="1126"/>
    </row>
    <row r="18" spans="1:21" ht="18" customHeight="1" thickBot="1" x14ac:dyDescent="0.25">
      <c r="A18" s="67"/>
      <c r="B18" s="67" t="s">
        <v>32</v>
      </c>
      <c r="C18" s="67"/>
      <c r="D18" s="67"/>
      <c r="E18" s="62"/>
      <c r="F18" s="78">
        <f t="shared" ref="F18:Q18" si="10">F12+F93+F117</f>
        <v>1739.2399999999998</v>
      </c>
      <c r="G18" s="78">
        <f t="shared" si="10"/>
        <v>1774.0899999999997</v>
      </c>
      <c r="H18" s="78">
        <f t="shared" si="10"/>
        <v>1808.9399999999996</v>
      </c>
      <c r="I18" s="78">
        <f t="shared" si="10"/>
        <v>1843.7899999999995</v>
      </c>
      <c r="J18" s="78">
        <f t="shared" si="10"/>
        <v>1878.6399999999994</v>
      </c>
      <c r="K18" s="78">
        <f t="shared" si="10"/>
        <v>1913.4899999999993</v>
      </c>
      <c r="L18" s="78">
        <f t="shared" si="10"/>
        <v>1948.3399999999992</v>
      </c>
      <c r="M18" s="78">
        <f t="shared" si="10"/>
        <v>1983.1899999999991</v>
      </c>
      <c r="N18" s="78">
        <f t="shared" si="10"/>
        <v>2018.0399999999991</v>
      </c>
      <c r="O18" s="78">
        <f t="shared" si="10"/>
        <v>2052.889999999999</v>
      </c>
      <c r="P18" s="78">
        <f t="shared" si="10"/>
        <v>2087.7399999999989</v>
      </c>
      <c r="Q18" s="78">
        <f t="shared" si="10"/>
        <v>2122.5899999999988</v>
      </c>
      <c r="R18" s="63">
        <f>SUM(F18:Q18)</f>
        <v>23170.979999999992</v>
      </c>
      <c r="S18" s="79">
        <f>R18-R12</f>
        <v>417.21999999999753</v>
      </c>
      <c r="T18" s="1127">
        <f>S18+S19</f>
        <v>834.43999999999505</v>
      </c>
      <c r="U18" s="1126"/>
    </row>
    <row r="19" spans="1:21" ht="18" customHeight="1" thickBot="1" x14ac:dyDescent="0.25">
      <c r="A19" s="67"/>
      <c r="B19" s="67" t="s">
        <v>33</v>
      </c>
      <c r="C19" s="67"/>
      <c r="D19" s="67"/>
      <c r="E19" s="62"/>
      <c r="F19" s="78">
        <f t="shared" ref="F19:Q19" si="11">F13+F93+F118</f>
        <v>1939.2399999999998</v>
      </c>
      <c r="G19" s="78">
        <f t="shared" si="11"/>
        <v>1974.0899999999997</v>
      </c>
      <c r="H19" s="78">
        <f t="shared" si="11"/>
        <v>2008.9399999999996</v>
      </c>
      <c r="I19" s="78">
        <f t="shared" si="11"/>
        <v>2043.7899999999995</v>
      </c>
      <c r="J19" s="78">
        <f t="shared" si="11"/>
        <v>2078.6399999999994</v>
      </c>
      <c r="K19" s="78">
        <f t="shared" si="11"/>
        <v>2113.4899999999993</v>
      </c>
      <c r="L19" s="78">
        <f t="shared" si="11"/>
        <v>2148.3399999999992</v>
      </c>
      <c r="M19" s="78">
        <f t="shared" si="11"/>
        <v>2183.1899999999991</v>
      </c>
      <c r="N19" s="78">
        <f t="shared" si="11"/>
        <v>2218.0399999999991</v>
      </c>
      <c r="O19" s="78">
        <f t="shared" si="11"/>
        <v>2252.889999999999</v>
      </c>
      <c r="P19" s="78">
        <f t="shared" si="11"/>
        <v>2287.7399999999989</v>
      </c>
      <c r="Q19" s="78">
        <f t="shared" si="11"/>
        <v>2322.5899999999988</v>
      </c>
      <c r="R19" s="63">
        <f>SUM(F19:Q19)</f>
        <v>25570.979999999992</v>
      </c>
      <c r="S19" s="80">
        <f>R19-R13</f>
        <v>417.21999999999753</v>
      </c>
      <c r="T19" s="1127"/>
      <c r="U19" s="1126"/>
    </row>
    <row r="20" spans="1:21" ht="18" customHeight="1" x14ac:dyDescent="0.2">
      <c r="F20" s="19">
        <f t="shared" ref="F20:P20" si="12">SUM(F15:F17)</f>
        <v>9529.8140000000021</v>
      </c>
      <c r="G20" s="19">
        <f t="shared" si="12"/>
        <v>9997.6540000000005</v>
      </c>
      <c r="H20" s="19">
        <f t="shared" si="12"/>
        <v>8509.6640000000025</v>
      </c>
      <c r="I20" s="19">
        <f t="shared" si="12"/>
        <v>7498.5140000000019</v>
      </c>
      <c r="J20" s="19">
        <f t="shared" si="12"/>
        <v>9780.4940000000024</v>
      </c>
      <c r="K20" s="19">
        <f t="shared" si="12"/>
        <v>8765.9540000000015</v>
      </c>
      <c r="L20" s="19">
        <f t="shared" si="12"/>
        <v>12312.044000000004</v>
      </c>
      <c r="M20" s="19">
        <f t="shared" si="12"/>
        <v>8316.1240000000034</v>
      </c>
      <c r="N20" s="19">
        <f t="shared" si="12"/>
        <v>8192.2740000000031</v>
      </c>
      <c r="O20" s="19">
        <f t="shared" si="12"/>
        <v>8496.4440000000031</v>
      </c>
      <c r="P20" s="19">
        <f t="shared" si="12"/>
        <v>9237.0640000000021</v>
      </c>
      <c r="Q20" s="19">
        <f>SUM(Q15:Q17)</f>
        <v>9473.0240000000031</v>
      </c>
    </row>
    <row r="21" spans="1:21" ht="18" customHeight="1" x14ac:dyDescent="0.2">
      <c r="A21" s="1130" t="s">
        <v>34</v>
      </c>
      <c r="B21" s="1131"/>
      <c r="C21" s="1130" t="s">
        <v>35</v>
      </c>
      <c r="D21" s="1130" t="s">
        <v>36</v>
      </c>
      <c r="E21" s="1132" t="s">
        <v>37</v>
      </c>
      <c r="F21" s="1128">
        <v>2026</v>
      </c>
      <c r="G21" s="1128"/>
      <c r="H21" s="1128"/>
      <c r="I21" s="1128"/>
      <c r="J21" s="1128"/>
      <c r="K21" s="1128"/>
      <c r="L21" s="1128"/>
      <c r="M21" s="1128"/>
      <c r="N21" s="1128"/>
      <c r="O21" s="1128"/>
      <c r="P21" s="1128"/>
      <c r="Q21" s="1128"/>
      <c r="R21" s="1129" t="s">
        <v>38</v>
      </c>
      <c r="S21" s="53"/>
    </row>
    <row r="22" spans="1:21" ht="18" customHeight="1" x14ac:dyDescent="0.2">
      <c r="A22" s="1130"/>
      <c r="B22" s="1131"/>
      <c r="C22" s="1130"/>
      <c r="D22" s="1130"/>
      <c r="E22" s="1132"/>
      <c r="F22" s="1128"/>
      <c r="G22" s="1128"/>
      <c r="H22" s="1128"/>
      <c r="I22" s="1128"/>
      <c r="J22" s="1128"/>
      <c r="K22" s="1128"/>
      <c r="L22" s="1128"/>
      <c r="M22" s="1128"/>
      <c r="N22" s="1128"/>
      <c r="O22" s="1128"/>
      <c r="P22" s="1128"/>
      <c r="Q22" s="1128"/>
      <c r="R22" s="1129"/>
    </row>
    <row r="23" spans="1:21" ht="18" customHeight="1" x14ac:dyDescent="0.2">
      <c r="A23" s="81"/>
      <c r="B23" s="81"/>
      <c r="C23" s="81"/>
      <c r="D23" s="81"/>
      <c r="E23" s="82"/>
      <c r="F23" s="83" t="s">
        <v>39</v>
      </c>
      <c r="G23" s="84" t="s">
        <v>40</v>
      </c>
      <c r="H23" s="84" t="s">
        <v>41</v>
      </c>
      <c r="I23" s="84" t="s">
        <v>42</v>
      </c>
      <c r="J23" s="84" t="s">
        <v>43</v>
      </c>
      <c r="K23" s="84" t="s">
        <v>44</v>
      </c>
      <c r="L23" s="84" t="s">
        <v>45</v>
      </c>
      <c r="M23" s="84" t="s">
        <v>46</v>
      </c>
      <c r="N23" s="84" t="s">
        <v>47</v>
      </c>
      <c r="O23" s="84" t="s">
        <v>48</v>
      </c>
      <c r="P23" s="84" t="s">
        <v>49</v>
      </c>
      <c r="Q23" s="84" t="s">
        <v>50</v>
      </c>
      <c r="R23" s="85"/>
    </row>
    <row r="24" spans="1:21" ht="18" customHeight="1" thickBot="1" x14ac:dyDescent="0.25">
      <c r="A24" s="86"/>
      <c r="B24" s="86"/>
      <c r="C24" s="86"/>
      <c r="D24" s="86"/>
      <c r="E24" s="86"/>
      <c r="F24" s="1123" t="s">
        <v>51</v>
      </c>
      <c r="G24" s="1123"/>
      <c r="H24" s="1123"/>
      <c r="I24" s="1123"/>
      <c r="J24" s="1123"/>
      <c r="K24" s="1123"/>
      <c r="L24" s="1123"/>
      <c r="M24" s="1123"/>
      <c r="N24" s="1123"/>
      <c r="O24" s="1123"/>
      <c r="P24" s="1123"/>
      <c r="Q24" s="1123"/>
      <c r="R24" s="87"/>
    </row>
    <row r="25" spans="1:21" ht="18" customHeight="1" x14ac:dyDescent="0.2">
      <c r="A25" s="88" t="s">
        <v>0</v>
      </c>
      <c r="B25" s="89" t="s">
        <v>52</v>
      </c>
      <c r="C25" s="90"/>
      <c r="D25" s="91"/>
      <c r="E25" s="92"/>
      <c r="F25" s="877">
        <v>2277.0300000000002</v>
      </c>
      <c r="G25" s="877">
        <v>2295.2800000000002</v>
      </c>
      <c r="H25" s="877">
        <v>2330.61</v>
      </c>
      <c r="I25" s="877">
        <v>2365.91</v>
      </c>
      <c r="J25" s="877">
        <v>2365.91</v>
      </c>
      <c r="K25" s="877">
        <v>2348.2399999999998</v>
      </c>
      <c r="L25" s="877">
        <v>2365.91</v>
      </c>
      <c r="M25" s="1025">
        <v>0</v>
      </c>
      <c r="N25" s="771">
        <v>2029.23</v>
      </c>
      <c r="O25" s="771">
        <v>2315.58</v>
      </c>
      <c r="P25" s="771">
        <v>2351.39</v>
      </c>
      <c r="Q25" s="772">
        <v>2055.39</v>
      </c>
      <c r="R25" s="93">
        <f t="shared" ref="R25:R33" si="13">SUM(F25:Q25)</f>
        <v>25100.479999999996</v>
      </c>
    </row>
    <row r="26" spans="1:21" ht="18" customHeight="1" x14ac:dyDescent="0.2">
      <c r="A26" s="94" t="s">
        <v>0</v>
      </c>
      <c r="B26" s="95" t="s">
        <v>53</v>
      </c>
      <c r="C26" s="96"/>
      <c r="D26" s="97"/>
      <c r="E26" s="98"/>
      <c r="F26" s="99"/>
      <c r="G26" s="81"/>
      <c r="H26" s="789">
        <v>214.96</v>
      </c>
      <c r="I26" s="81"/>
      <c r="J26" s="1000">
        <v>242.8</v>
      </c>
      <c r="K26" s="81"/>
      <c r="L26" s="1000">
        <v>2383.5500000000002</v>
      </c>
      <c r="M26" s="81"/>
      <c r="N26" s="81"/>
      <c r="O26" s="81"/>
      <c r="P26" s="754">
        <v>0.19</v>
      </c>
      <c r="Q26" s="100"/>
      <c r="R26" s="101">
        <f t="shared" si="13"/>
        <v>2841.5000000000005</v>
      </c>
    </row>
    <row r="27" spans="1:21" ht="18" customHeight="1" x14ac:dyDescent="0.2">
      <c r="A27" s="94" t="s">
        <v>0</v>
      </c>
      <c r="B27" s="102" t="s">
        <v>54</v>
      </c>
      <c r="C27" s="103"/>
      <c r="D27" s="104"/>
      <c r="E27" s="98"/>
      <c r="F27" s="99"/>
      <c r="G27" s="81"/>
      <c r="H27" s="81"/>
      <c r="I27" s="81"/>
      <c r="J27" s="789">
        <v>0.2</v>
      </c>
      <c r="K27" s="81"/>
      <c r="L27" s="789">
        <v>1965.82</v>
      </c>
      <c r="M27" s="81"/>
      <c r="N27" s="81"/>
      <c r="O27" s="81"/>
      <c r="P27" s="81"/>
      <c r="Q27" s="105">
        <v>1933.44</v>
      </c>
      <c r="R27" s="101">
        <f t="shared" si="13"/>
        <v>3899.46</v>
      </c>
    </row>
    <row r="28" spans="1:21" ht="18" customHeight="1" x14ac:dyDescent="0.2">
      <c r="A28" s="94" t="s">
        <v>0</v>
      </c>
      <c r="B28" s="102" t="s">
        <v>55</v>
      </c>
      <c r="C28" s="103"/>
      <c r="D28" s="104"/>
      <c r="E28" s="98"/>
      <c r="F28" s="99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100"/>
      <c r="R28" s="101">
        <f t="shared" si="13"/>
        <v>0</v>
      </c>
    </row>
    <row r="29" spans="1:21" ht="18" customHeight="1" x14ac:dyDescent="0.2">
      <c r="A29" s="94" t="s">
        <v>0</v>
      </c>
      <c r="B29" s="102" t="s">
        <v>56</v>
      </c>
      <c r="C29" s="103"/>
      <c r="D29" s="104"/>
      <c r="E29" s="98"/>
      <c r="F29" s="99"/>
      <c r="G29" s="81"/>
      <c r="H29" s="81"/>
      <c r="I29" s="789">
        <v>1963.96</v>
      </c>
      <c r="J29" s="81"/>
      <c r="K29" s="81"/>
      <c r="L29" s="81"/>
      <c r="M29" s="81"/>
      <c r="N29" s="81"/>
      <c r="O29" s="81"/>
      <c r="P29" s="81"/>
      <c r="Q29" s="100"/>
      <c r="R29" s="101">
        <f t="shared" si="13"/>
        <v>1963.96</v>
      </c>
    </row>
    <row r="30" spans="1:21" ht="18" customHeight="1" x14ac:dyDescent="0.2">
      <c r="A30" s="94" t="s">
        <v>0</v>
      </c>
      <c r="B30" s="102" t="s">
        <v>57</v>
      </c>
      <c r="C30" s="103"/>
      <c r="D30" s="104"/>
      <c r="E30" s="98"/>
      <c r="F30" s="99"/>
      <c r="G30" s="81"/>
      <c r="H30" s="81"/>
      <c r="I30" s="789">
        <v>1693.84</v>
      </c>
      <c r="J30" s="81"/>
      <c r="K30" s="81"/>
      <c r="L30" s="81"/>
      <c r="M30" s="81"/>
      <c r="N30" s="81"/>
      <c r="O30" s="81"/>
      <c r="P30" s="81"/>
      <c r="Q30" s="100"/>
      <c r="R30" s="101">
        <f t="shared" si="13"/>
        <v>1693.84</v>
      </c>
    </row>
    <row r="31" spans="1:21" ht="18" customHeight="1" x14ac:dyDescent="0.2">
      <c r="A31" s="94" t="s">
        <v>0</v>
      </c>
      <c r="B31" s="102" t="s">
        <v>58</v>
      </c>
      <c r="C31" s="103"/>
      <c r="D31" s="104"/>
      <c r="E31" s="98"/>
      <c r="F31" s="99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100"/>
      <c r="R31" s="101">
        <f t="shared" si="13"/>
        <v>0</v>
      </c>
    </row>
    <row r="32" spans="1:21" ht="18" customHeight="1" thickBot="1" x14ac:dyDescent="0.25">
      <c r="A32" s="94" t="s">
        <v>0</v>
      </c>
      <c r="B32" s="102" t="s">
        <v>59</v>
      </c>
      <c r="C32" s="103"/>
      <c r="D32" s="104"/>
      <c r="E32" s="98"/>
      <c r="F32" s="789">
        <f t="shared" ref="F32:Q32" si="14">F119</f>
        <v>0</v>
      </c>
      <c r="G32" s="789">
        <f t="shared" si="14"/>
        <v>0</v>
      </c>
      <c r="H32" s="789">
        <f t="shared" si="14"/>
        <v>0</v>
      </c>
      <c r="I32" s="789">
        <f t="shared" si="14"/>
        <v>0</v>
      </c>
      <c r="J32" s="789">
        <f t="shared" si="14"/>
        <v>0</v>
      </c>
      <c r="K32" s="789">
        <f t="shared" si="14"/>
        <v>0</v>
      </c>
      <c r="L32" s="789">
        <f t="shared" si="14"/>
        <v>0</v>
      </c>
      <c r="M32" s="789">
        <f t="shared" si="14"/>
        <v>0</v>
      </c>
      <c r="N32" s="754">
        <f t="shared" si="14"/>
        <v>0</v>
      </c>
      <c r="O32" s="754">
        <f t="shared" si="14"/>
        <v>0</v>
      </c>
      <c r="P32" s="754">
        <f t="shared" si="14"/>
        <v>0</v>
      </c>
      <c r="Q32" s="779">
        <f t="shared" si="14"/>
        <v>0</v>
      </c>
      <c r="R32" s="101">
        <f t="shared" si="13"/>
        <v>0</v>
      </c>
    </row>
    <row r="33" spans="1:20" ht="18" customHeight="1" thickBot="1" x14ac:dyDescent="0.25">
      <c r="A33" s="107" t="s">
        <v>0</v>
      </c>
      <c r="B33" s="108" t="s">
        <v>60</v>
      </c>
      <c r="C33" s="109"/>
      <c r="D33" s="110"/>
      <c r="E33" s="111"/>
      <c r="F33" s="889">
        <f t="shared" ref="F33:Q33" si="15">F135</f>
        <v>0</v>
      </c>
      <c r="G33" s="889">
        <f t="shared" si="15"/>
        <v>0</v>
      </c>
      <c r="H33" s="889">
        <f t="shared" si="15"/>
        <v>0</v>
      </c>
      <c r="I33" s="889">
        <f t="shared" si="15"/>
        <v>0</v>
      </c>
      <c r="J33" s="889">
        <f t="shared" si="15"/>
        <v>0</v>
      </c>
      <c r="K33" s="889">
        <f t="shared" si="15"/>
        <v>0</v>
      </c>
      <c r="L33" s="889">
        <f t="shared" si="15"/>
        <v>0</v>
      </c>
      <c r="M33" s="1026">
        <f t="shared" si="15"/>
        <v>0</v>
      </c>
      <c r="N33" s="780">
        <f t="shared" si="15"/>
        <v>0</v>
      </c>
      <c r="O33" s="780">
        <f t="shared" si="15"/>
        <v>0</v>
      </c>
      <c r="P33" s="780">
        <f t="shared" si="15"/>
        <v>0</v>
      </c>
      <c r="Q33" s="781">
        <f t="shared" si="15"/>
        <v>0</v>
      </c>
      <c r="R33" s="112">
        <f t="shared" si="13"/>
        <v>0</v>
      </c>
      <c r="S33" s="113">
        <f>SUM(R25:R33)</f>
        <v>35499.239999999991</v>
      </c>
    </row>
    <row r="34" spans="1:20" ht="18" customHeight="1" x14ac:dyDescent="0.2">
      <c r="A34" s="114"/>
      <c r="D34" s="11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20" ht="18" customHeight="1" thickBot="1" x14ac:dyDescent="0.25">
      <c r="A35" s="114"/>
      <c r="D35" s="11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20" ht="18" customHeight="1" x14ac:dyDescent="0.2">
      <c r="A36" s="88" t="s">
        <v>1</v>
      </c>
      <c r="B36" s="116" t="s">
        <v>61</v>
      </c>
      <c r="C36" s="117"/>
      <c r="D36" s="118"/>
      <c r="E36" s="92"/>
      <c r="F36" s="877">
        <v>0</v>
      </c>
      <c r="G36" s="877">
        <v>0</v>
      </c>
      <c r="H36" s="877">
        <v>0</v>
      </c>
      <c r="I36" s="877">
        <v>0</v>
      </c>
      <c r="J36" s="877">
        <v>4715</v>
      </c>
      <c r="K36" s="877">
        <v>0</v>
      </c>
      <c r="L36" s="877">
        <v>0</v>
      </c>
      <c r="M36" s="877">
        <v>0</v>
      </c>
      <c r="N36" s="770">
        <v>2357.5</v>
      </c>
      <c r="O36" s="770">
        <v>2357.5</v>
      </c>
      <c r="P36" s="770">
        <v>2357.5</v>
      </c>
      <c r="Q36" s="772">
        <v>2357.5</v>
      </c>
      <c r="R36" s="93">
        <f>SUM(F36:Q36)</f>
        <v>14145</v>
      </c>
    </row>
    <row r="37" spans="1:20" ht="18" customHeight="1" x14ac:dyDescent="0.2">
      <c r="A37" s="94" t="s">
        <v>1</v>
      </c>
      <c r="B37" s="102" t="s">
        <v>416</v>
      </c>
      <c r="C37" s="103"/>
      <c r="D37" s="104"/>
      <c r="E37" s="98"/>
      <c r="F37" s="789">
        <v>2357.5</v>
      </c>
      <c r="G37" s="789">
        <v>2357.5</v>
      </c>
      <c r="H37" s="789">
        <v>2357.5</v>
      </c>
      <c r="I37" s="789">
        <v>0</v>
      </c>
      <c r="J37" s="789">
        <v>0</v>
      </c>
      <c r="K37" s="789">
        <v>2357.5</v>
      </c>
      <c r="L37" s="789">
        <v>2357.5</v>
      </c>
      <c r="M37" s="789">
        <v>0</v>
      </c>
      <c r="N37" s="754">
        <v>0</v>
      </c>
      <c r="O37" s="754">
        <v>0</v>
      </c>
      <c r="P37" s="754">
        <v>0</v>
      </c>
      <c r="Q37" s="782">
        <v>0</v>
      </c>
      <c r="R37" s="101">
        <f>SUM(F37:Q37)</f>
        <v>11787.5</v>
      </c>
    </row>
    <row r="38" spans="1:20" ht="18" customHeight="1" thickBot="1" x14ac:dyDescent="0.25">
      <c r="A38" s="94" t="s">
        <v>1</v>
      </c>
      <c r="B38" s="102" t="s">
        <v>63</v>
      </c>
      <c r="C38" s="103"/>
      <c r="D38" s="104"/>
      <c r="E38" s="98"/>
      <c r="F38" s="888">
        <f t="shared" ref="F38:Q38" si="16">F95</f>
        <v>0</v>
      </c>
      <c r="G38" s="888">
        <f t="shared" si="16"/>
        <v>0</v>
      </c>
      <c r="H38" s="888">
        <f t="shared" si="16"/>
        <v>500</v>
      </c>
      <c r="I38" s="888">
        <f t="shared" si="16"/>
        <v>500</v>
      </c>
      <c r="J38" s="888">
        <f t="shared" si="16"/>
        <v>500</v>
      </c>
      <c r="K38" s="888">
        <f t="shared" si="16"/>
        <v>500</v>
      </c>
      <c r="L38" s="888">
        <f t="shared" si="16"/>
        <v>500</v>
      </c>
      <c r="M38" s="888">
        <f t="shared" si="16"/>
        <v>500</v>
      </c>
      <c r="N38" s="826">
        <f t="shared" si="16"/>
        <v>500</v>
      </c>
      <c r="O38" s="826">
        <f t="shared" si="16"/>
        <v>500</v>
      </c>
      <c r="P38" s="826">
        <f t="shared" si="16"/>
        <v>500</v>
      </c>
      <c r="Q38" s="779">
        <f t="shared" si="16"/>
        <v>500</v>
      </c>
      <c r="R38" s="101">
        <f>SUM(F38:Q38)</f>
        <v>5000</v>
      </c>
    </row>
    <row r="39" spans="1:20" ht="18" customHeight="1" thickBot="1" x14ac:dyDescent="0.25">
      <c r="A39" s="107" t="s">
        <v>1</v>
      </c>
      <c r="B39" s="108" t="s">
        <v>60</v>
      </c>
      <c r="C39" s="109"/>
      <c r="D39" s="110"/>
      <c r="E39" s="111"/>
      <c r="F39" s="889">
        <f t="shared" ref="F39:Q39" si="17">F136</f>
        <v>0</v>
      </c>
      <c r="G39" s="889">
        <f t="shared" si="17"/>
        <v>0</v>
      </c>
      <c r="H39" s="889">
        <f t="shared" si="17"/>
        <v>0</v>
      </c>
      <c r="I39" s="889">
        <f t="shared" si="17"/>
        <v>0</v>
      </c>
      <c r="J39" s="889">
        <f t="shared" si="17"/>
        <v>0</v>
      </c>
      <c r="K39" s="889">
        <f t="shared" si="17"/>
        <v>0</v>
      </c>
      <c r="L39" s="889">
        <f t="shared" si="17"/>
        <v>0</v>
      </c>
      <c r="M39" s="1026">
        <f t="shared" si="17"/>
        <v>0</v>
      </c>
      <c r="N39" s="780">
        <f t="shared" si="17"/>
        <v>0</v>
      </c>
      <c r="O39" s="780">
        <f t="shared" si="17"/>
        <v>0</v>
      </c>
      <c r="P39" s="780">
        <f t="shared" si="17"/>
        <v>0</v>
      </c>
      <c r="Q39" s="781">
        <f t="shared" si="17"/>
        <v>0</v>
      </c>
      <c r="R39" s="112">
        <f>SUM(F39:Q39)</f>
        <v>0</v>
      </c>
      <c r="S39" s="113">
        <f>SUM(R36:R39)</f>
        <v>30932.5</v>
      </c>
    </row>
    <row r="40" spans="1:20" ht="18" customHeight="1" thickBot="1" x14ac:dyDescent="0.25">
      <c r="A40" s="114"/>
      <c r="B40" s="119"/>
      <c r="D40" s="115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1"/>
    </row>
    <row r="41" spans="1:20" ht="18" customHeight="1" x14ac:dyDescent="0.2">
      <c r="A41" s="88" t="s">
        <v>2</v>
      </c>
      <c r="B41" s="116" t="s">
        <v>62</v>
      </c>
      <c r="C41" s="117"/>
      <c r="D41" s="118"/>
      <c r="E41" s="92"/>
      <c r="F41" s="877">
        <v>0</v>
      </c>
      <c r="G41" s="877">
        <v>0</v>
      </c>
      <c r="H41" s="877">
        <v>0</v>
      </c>
      <c r="I41" s="877">
        <v>0</v>
      </c>
      <c r="J41" s="877">
        <v>0</v>
      </c>
      <c r="K41" s="877">
        <v>0</v>
      </c>
      <c r="L41" s="877">
        <v>0</v>
      </c>
      <c r="M41" s="1025">
        <v>0</v>
      </c>
      <c r="N41" s="771">
        <v>0</v>
      </c>
      <c r="O41" s="771">
        <v>0</v>
      </c>
      <c r="P41" s="771">
        <v>0</v>
      </c>
      <c r="Q41" s="772">
        <v>0</v>
      </c>
      <c r="R41" s="93">
        <f>SUM(F41:Q41)</f>
        <v>0</v>
      </c>
    </row>
    <row r="42" spans="1:20" ht="18" customHeight="1" x14ac:dyDescent="0.2">
      <c r="A42" s="94" t="s">
        <v>2</v>
      </c>
      <c r="B42" s="102" t="s">
        <v>64</v>
      </c>
      <c r="C42" s="103"/>
      <c r="D42" s="104"/>
      <c r="E42" s="98"/>
      <c r="F42" s="888">
        <f t="shared" ref="F42:Q42" si="18">F96</f>
        <v>1000</v>
      </c>
      <c r="G42" s="888">
        <f t="shared" si="18"/>
        <v>0</v>
      </c>
      <c r="H42" s="888">
        <f t="shared" si="18"/>
        <v>500</v>
      </c>
      <c r="I42" s="888">
        <f t="shared" si="18"/>
        <v>500</v>
      </c>
      <c r="J42" s="888">
        <f t="shared" si="18"/>
        <v>500</v>
      </c>
      <c r="K42" s="888">
        <f t="shared" si="18"/>
        <v>500</v>
      </c>
      <c r="L42" s="888">
        <f t="shared" si="18"/>
        <v>500</v>
      </c>
      <c r="M42" s="888">
        <f t="shared" si="18"/>
        <v>500</v>
      </c>
      <c r="N42" s="826">
        <f t="shared" si="18"/>
        <v>500</v>
      </c>
      <c r="O42" s="826">
        <f t="shared" si="18"/>
        <v>500</v>
      </c>
      <c r="P42" s="826">
        <f t="shared" si="18"/>
        <v>500</v>
      </c>
      <c r="Q42" s="827">
        <f t="shared" si="18"/>
        <v>500</v>
      </c>
      <c r="R42" s="101">
        <f>SUM(F42:Q42)</f>
        <v>6000</v>
      </c>
    </row>
    <row r="43" spans="1:20" ht="18" customHeight="1" thickBot="1" x14ac:dyDescent="0.25">
      <c r="A43" s="94" t="s">
        <v>2</v>
      </c>
      <c r="B43" s="102" t="s">
        <v>65</v>
      </c>
      <c r="C43" s="122"/>
      <c r="D43" s="123"/>
      <c r="E43" s="124"/>
      <c r="F43" s="888">
        <f t="shared" ref="F43:Q43" si="19">F97</f>
        <v>0</v>
      </c>
      <c r="G43" s="888">
        <f t="shared" si="19"/>
        <v>0</v>
      </c>
      <c r="H43" s="888">
        <f t="shared" si="19"/>
        <v>0</v>
      </c>
      <c r="I43" s="888">
        <f t="shared" si="19"/>
        <v>0</v>
      </c>
      <c r="J43" s="888">
        <f t="shared" si="19"/>
        <v>0</v>
      </c>
      <c r="K43" s="888">
        <f t="shared" si="19"/>
        <v>0</v>
      </c>
      <c r="L43" s="888">
        <f t="shared" si="19"/>
        <v>0</v>
      </c>
      <c r="M43" s="888">
        <f t="shared" si="19"/>
        <v>0</v>
      </c>
      <c r="N43" s="826">
        <f t="shared" si="19"/>
        <v>0</v>
      </c>
      <c r="O43" s="826">
        <f t="shared" si="19"/>
        <v>0</v>
      </c>
      <c r="P43" s="826">
        <f t="shared" si="19"/>
        <v>0</v>
      </c>
      <c r="Q43" s="779">
        <f t="shared" si="19"/>
        <v>0</v>
      </c>
      <c r="R43" s="101">
        <f>SUM(F43:Q43)</f>
        <v>0</v>
      </c>
    </row>
    <row r="44" spans="1:20" ht="18" customHeight="1" thickBot="1" x14ac:dyDescent="0.25">
      <c r="A44" s="107" t="s">
        <v>2</v>
      </c>
      <c r="B44" s="108" t="s">
        <v>59</v>
      </c>
      <c r="C44" s="109"/>
      <c r="D44" s="110"/>
      <c r="E44" s="111"/>
      <c r="F44" s="889">
        <f t="shared" ref="F44:Q44" si="20">F120</f>
        <v>0</v>
      </c>
      <c r="G44" s="889">
        <f t="shared" si="20"/>
        <v>0</v>
      </c>
      <c r="H44" s="889">
        <f t="shared" si="20"/>
        <v>0</v>
      </c>
      <c r="I44" s="889">
        <f t="shared" si="20"/>
        <v>0</v>
      </c>
      <c r="J44" s="889">
        <f t="shared" si="20"/>
        <v>0</v>
      </c>
      <c r="K44" s="889">
        <f t="shared" si="20"/>
        <v>0</v>
      </c>
      <c r="L44" s="889">
        <f t="shared" si="20"/>
        <v>0</v>
      </c>
      <c r="M44" s="1026">
        <f t="shared" si="20"/>
        <v>0</v>
      </c>
      <c r="N44" s="780">
        <f t="shared" si="20"/>
        <v>0</v>
      </c>
      <c r="O44" s="780">
        <f t="shared" si="20"/>
        <v>0</v>
      </c>
      <c r="P44" s="780">
        <f t="shared" si="20"/>
        <v>0</v>
      </c>
      <c r="Q44" s="781">
        <f t="shared" si="20"/>
        <v>0</v>
      </c>
      <c r="R44" s="112">
        <f>SUM(F44:Q44)</f>
        <v>0</v>
      </c>
      <c r="S44" s="113">
        <f>SUM(R41:R44)</f>
        <v>6000</v>
      </c>
    </row>
    <row r="45" spans="1:20" ht="18" customHeight="1" x14ac:dyDescent="0.2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6">
        <f>R25+R26+R27+R28+R29+R30+R31+R36+R37+R41</f>
        <v>61431.739999999991</v>
      </c>
      <c r="S45" s="126">
        <f>S33+S39+S44</f>
        <v>72431.739999999991</v>
      </c>
      <c r="T45" s="3" t="s">
        <v>341</v>
      </c>
    </row>
    <row r="46" spans="1:20" ht="18" customHeight="1" x14ac:dyDescent="0.2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</row>
    <row r="47" spans="1:20" ht="18" customHeight="1" thickBot="1" x14ac:dyDescent="0.25">
      <c r="A47" s="127"/>
      <c r="B47" s="127"/>
      <c r="C47" s="127"/>
      <c r="D47" s="127"/>
      <c r="E47" s="127"/>
      <c r="F47" s="1124" t="s">
        <v>66</v>
      </c>
      <c r="G47" s="1124"/>
      <c r="H47" s="1124"/>
      <c r="I47" s="1124"/>
      <c r="J47" s="1124"/>
      <c r="K47" s="1124"/>
      <c r="L47" s="1124"/>
      <c r="M47" s="1124"/>
      <c r="N47" s="1124"/>
      <c r="O47" s="1124"/>
      <c r="P47" s="1124"/>
      <c r="Q47" s="1124"/>
      <c r="R47" s="128"/>
    </row>
    <row r="48" spans="1:20" ht="18" customHeight="1" x14ac:dyDescent="0.2">
      <c r="A48" s="129" t="s">
        <v>0</v>
      </c>
      <c r="B48" s="130" t="s">
        <v>267</v>
      </c>
      <c r="C48" s="131" t="s">
        <v>68</v>
      </c>
      <c r="D48" s="132" t="s">
        <v>69</v>
      </c>
      <c r="E48" s="133"/>
      <c r="F48" s="890">
        <f>'GASTOS '!F17</f>
        <v>504.37</v>
      </c>
      <c r="G48" s="890">
        <f>'GASTOS '!L17</f>
        <v>22.24</v>
      </c>
      <c r="H48" s="890">
        <f>'GASTOS '!R17</f>
        <v>1644.14</v>
      </c>
      <c r="I48" s="890">
        <f>'GASTOS '!X17</f>
        <v>2794.59</v>
      </c>
      <c r="J48" s="890">
        <f>'GASTOS '!AD17</f>
        <v>119.25</v>
      </c>
      <c r="K48" s="890">
        <f>'GASTOS '!AJ17</f>
        <v>1338.3</v>
      </c>
      <c r="L48" s="890">
        <f>'GASTOS '!AP17</f>
        <v>1188.0899999999999</v>
      </c>
      <c r="M48" s="890">
        <f>'GASTOS '!AV17</f>
        <v>193.62</v>
      </c>
      <c r="N48" s="890">
        <f>'GASTOS '!BB17</f>
        <v>0</v>
      </c>
      <c r="O48" s="890">
        <f>'GASTOS '!BH17</f>
        <v>0</v>
      </c>
      <c r="P48" s="890">
        <f>'GASTOS '!BN17</f>
        <v>0</v>
      </c>
      <c r="Q48" s="890">
        <f>'GASTOS '!BT17</f>
        <v>0</v>
      </c>
      <c r="R48" s="134">
        <f t="shared" ref="R48" si="21">SUM(F48:Q48)</f>
        <v>7804.6</v>
      </c>
    </row>
    <row r="49" spans="1:18" ht="18" customHeight="1" x14ac:dyDescent="0.2">
      <c r="A49" s="135" t="s">
        <v>0</v>
      </c>
      <c r="B49" s="136" t="s">
        <v>67</v>
      </c>
      <c r="C49" s="137" t="s">
        <v>68</v>
      </c>
      <c r="D49" s="138" t="s">
        <v>69</v>
      </c>
      <c r="E49" s="139"/>
      <c r="F49" s="789">
        <v>808.1</v>
      </c>
      <c r="G49" s="789">
        <v>802.79</v>
      </c>
      <c r="H49" s="789">
        <v>802.79</v>
      </c>
      <c r="I49" s="789">
        <v>802.79</v>
      </c>
      <c r="J49" s="789">
        <v>802.79</v>
      </c>
      <c r="K49" s="789">
        <v>802.79</v>
      </c>
      <c r="L49" s="789">
        <v>802.79</v>
      </c>
      <c r="M49" s="789">
        <v>802.79</v>
      </c>
      <c r="N49" s="754">
        <v>802.79</v>
      </c>
      <c r="O49" s="754">
        <v>802.79</v>
      </c>
      <c r="P49" s="754">
        <v>802.79</v>
      </c>
      <c r="Q49" s="783">
        <v>802.79</v>
      </c>
      <c r="R49" s="141">
        <f t="shared" ref="R49:R57" si="22">SUM(F49:Q49)</f>
        <v>9638.7900000000009</v>
      </c>
    </row>
    <row r="50" spans="1:18" ht="18" customHeight="1" x14ac:dyDescent="0.2">
      <c r="A50" s="135" t="s">
        <v>0</v>
      </c>
      <c r="B50" s="136" t="s">
        <v>70</v>
      </c>
      <c r="C50" s="137" t="s">
        <v>68</v>
      </c>
      <c r="D50" s="138" t="s">
        <v>71</v>
      </c>
      <c r="E50" s="139"/>
      <c r="F50" s="789">
        <v>43.83</v>
      </c>
      <c r="G50" s="789">
        <v>43.83</v>
      </c>
      <c r="H50" s="789">
        <v>43.83</v>
      </c>
      <c r="I50" s="789">
        <v>43.83</v>
      </c>
      <c r="J50" s="789">
        <v>43.83</v>
      </c>
      <c r="K50" s="789">
        <v>43.83</v>
      </c>
      <c r="L50" s="789">
        <v>43.83</v>
      </c>
      <c r="M50" s="789">
        <v>43.83</v>
      </c>
      <c r="N50" s="754">
        <v>43.83</v>
      </c>
      <c r="O50" s="754">
        <v>43.83</v>
      </c>
      <c r="P50" s="754">
        <v>43.83</v>
      </c>
      <c r="Q50" s="783">
        <v>43.83</v>
      </c>
      <c r="R50" s="141">
        <f t="shared" si="22"/>
        <v>525.95999999999992</v>
      </c>
    </row>
    <row r="51" spans="1:18" ht="18" customHeight="1" x14ac:dyDescent="0.2">
      <c r="A51" s="135" t="s">
        <v>0</v>
      </c>
      <c r="B51" s="136" t="s">
        <v>72</v>
      </c>
      <c r="C51" s="137" t="s">
        <v>68</v>
      </c>
      <c r="D51" s="138"/>
      <c r="E51" s="139"/>
      <c r="F51" s="789">
        <v>9</v>
      </c>
      <c r="G51" s="789">
        <v>9</v>
      </c>
      <c r="H51" s="789">
        <v>9</v>
      </c>
      <c r="I51" s="789">
        <v>9</v>
      </c>
      <c r="J51" s="789">
        <v>9</v>
      </c>
      <c r="K51" s="789">
        <v>9</v>
      </c>
      <c r="L51" s="789">
        <v>9</v>
      </c>
      <c r="M51" s="789">
        <v>9</v>
      </c>
      <c r="N51" s="754">
        <v>9</v>
      </c>
      <c r="O51" s="754">
        <v>9</v>
      </c>
      <c r="P51" s="754">
        <v>9</v>
      </c>
      <c r="Q51" s="783">
        <v>9</v>
      </c>
      <c r="R51" s="141">
        <f t="shared" si="22"/>
        <v>108</v>
      </c>
    </row>
    <row r="52" spans="1:18" ht="18" customHeight="1" x14ac:dyDescent="0.2">
      <c r="A52" s="135" t="s">
        <v>0</v>
      </c>
      <c r="B52" s="136" t="s">
        <v>484</v>
      </c>
      <c r="C52" s="137" t="s">
        <v>68</v>
      </c>
      <c r="D52" s="138" t="s">
        <v>73</v>
      </c>
      <c r="E52" s="139"/>
      <c r="F52" s="789">
        <v>51.5</v>
      </c>
      <c r="G52" s="945">
        <v>66.58</v>
      </c>
      <c r="H52" s="784"/>
      <c r="I52" s="789">
        <v>18.84</v>
      </c>
      <c r="J52" s="789">
        <v>43.73</v>
      </c>
      <c r="K52" s="789">
        <v>27.04</v>
      </c>
      <c r="L52" s="789">
        <v>27.05</v>
      </c>
      <c r="M52" s="789">
        <v>34.15</v>
      </c>
      <c r="N52" s="754">
        <v>41.02</v>
      </c>
      <c r="O52" s="754">
        <v>43.22</v>
      </c>
      <c r="P52" s="754">
        <v>85.44</v>
      </c>
      <c r="Q52" s="783">
        <v>40</v>
      </c>
      <c r="R52" s="141">
        <f t="shared" si="22"/>
        <v>478.57</v>
      </c>
    </row>
    <row r="53" spans="1:18" ht="18" customHeight="1" x14ac:dyDescent="0.2">
      <c r="A53" s="142" t="s">
        <v>0</v>
      </c>
      <c r="B53" s="136" t="s">
        <v>74</v>
      </c>
      <c r="C53" s="137" t="s">
        <v>68</v>
      </c>
      <c r="D53" s="143" t="s">
        <v>75</v>
      </c>
      <c r="E53" s="139"/>
      <c r="F53" s="789">
        <v>37</v>
      </c>
      <c r="G53" s="789">
        <v>37</v>
      </c>
      <c r="H53" s="789">
        <v>37</v>
      </c>
      <c r="I53" s="789">
        <v>37</v>
      </c>
      <c r="J53" s="789">
        <v>37.93</v>
      </c>
      <c r="K53" s="789">
        <v>37</v>
      </c>
      <c r="L53" s="789">
        <v>37</v>
      </c>
      <c r="M53" s="789">
        <v>37</v>
      </c>
      <c r="N53" s="754">
        <v>37</v>
      </c>
      <c r="O53" s="754">
        <v>37</v>
      </c>
      <c r="P53" s="754">
        <v>33.43</v>
      </c>
      <c r="Q53" s="783">
        <v>37</v>
      </c>
      <c r="R53" s="141">
        <f t="shared" si="22"/>
        <v>441.36</v>
      </c>
    </row>
    <row r="54" spans="1:18" ht="18" customHeight="1" x14ac:dyDescent="0.2">
      <c r="A54" s="135" t="s">
        <v>0</v>
      </c>
      <c r="B54" s="136" t="s">
        <v>76</v>
      </c>
      <c r="C54" s="137" t="s">
        <v>68</v>
      </c>
      <c r="D54" s="143" t="s">
        <v>77</v>
      </c>
      <c r="E54" s="139"/>
      <c r="F54" s="789">
        <v>170.01</v>
      </c>
      <c r="G54" s="754"/>
      <c r="H54" s="789">
        <v>133.05000000000001</v>
      </c>
      <c r="I54" s="789">
        <v>30.79</v>
      </c>
      <c r="J54" s="146"/>
      <c r="K54" s="789">
        <v>90.05</v>
      </c>
      <c r="M54" s="789">
        <v>72.41</v>
      </c>
      <c r="N54" s="146"/>
      <c r="O54" s="754">
        <v>66.08</v>
      </c>
      <c r="P54" s="146"/>
      <c r="Q54" s="140">
        <v>69.94</v>
      </c>
      <c r="R54" s="141">
        <f t="shared" si="22"/>
        <v>632.33000000000015</v>
      </c>
    </row>
    <row r="55" spans="1:18" ht="18" customHeight="1" x14ac:dyDescent="0.2">
      <c r="A55" s="135" t="s">
        <v>0</v>
      </c>
      <c r="B55" s="136" t="s">
        <v>78</v>
      </c>
      <c r="C55" s="137" t="s">
        <v>68</v>
      </c>
      <c r="D55" s="143" t="s">
        <v>79</v>
      </c>
      <c r="E55" s="139"/>
      <c r="F55" s="144"/>
      <c r="G55" s="789">
        <v>106.94</v>
      </c>
      <c r="H55" s="146"/>
      <c r="I55" s="147" t="s">
        <v>80</v>
      </c>
      <c r="J55" s="789">
        <v>113.89</v>
      </c>
      <c r="K55" s="146"/>
      <c r="L55" s="146"/>
      <c r="M55" s="789">
        <v>102.81</v>
      </c>
      <c r="N55" s="146"/>
      <c r="O55" s="146"/>
      <c r="P55" s="754">
        <v>110.2</v>
      </c>
      <c r="Q55" s="148"/>
      <c r="R55" s="141">
        <f t="shared" si="22"/>
        <v>433.84</v>
      </c>
    </row>
    <row r="56" spans="1:18" ht="18" customHeight="1" x14ac:dyDescent="0.2">
      <c r="A56" s="135" t="s">
        <v>0</v>
      </c>
      <c r="B56" s="136" t="s">
        <v>81</v>
      </c>
      <c r="C56" s="137" t="s">
        <v>68</v>
      </c>
      <c r="D56" s="149"/>
      <c r="E56" s="139"/>
      <c r="F56" s="144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783">
        <v>124.35</v>
      </c>
      <c r="R56" s="141">
        <f t="shared" si="22"/>
        <v>124.35</v>
      </c>
    </row>
    <row r="57" spans="1:18" ht="18" customHeight="1" x14ac:dyDescent="0.2">
      <c r="A57" s="135" t="s">
        <v>0</v>
      </c>
      <c r="B57" s="136" t="s">
        <v>82</v>
      </c>
      <c r="C57" s="137" t="s">
        <v>68</v>
      </c>
      <c r="D57" s="149"/>
      <c r="E57" s="139"/>
      <c r="F57" s="144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783">
        <v>113.24</v>
      </c>
      <c r="R57" s="141">
        <f t="shared" si="22"/>
        <v>113.24</v>
      </c>
    </row>
    <row r="58" spans="1:18" ht="18" customHeight="1" thickBot="1" x14ac:dyDescent="0.25">
      <c r="A58" s="142" t="s">
        <v>0</v>
      </c>
      <c r="B58" s="150" t="s">
        <v>83</v>
      </c>
      <c r="C58" s="151" t="s">
        <v>68</v>
      </c>
      <c r="D58" s="152"/>
      <c r="E58" s="153"/>
      <c r="F58" s="154"/>
      <c r="G58" s="155"/>
      <c r="H58" s="155"/>
      <c r="I58" s="156"/>
      <c r="J58" s="155"/>
      <c r="K58" s="931">
        <v>352</v>
      </c>
      <c r="L58" s="155"/>
      <c r="M58" s="155"/>
      <c r="N58" s="155"/>
      <c r="O58" s="155"/>
      <c r="P58" s="155"/>
      <c r="Q58" s="157"/>
      <c r="R58" s="158">
        <v>306.63</v>
      </c>
    </row>
    <row r="59" spans="1:18" ht="18" customHeight="1" x14ac:dyDescent="0.2">
      <c r="A59" s="159" t="s">
        <v>0</v>
      </c>
      <c r="B59" s="160" t="s">
        <v>84</v>
      </c>
      <c r="C59" s="131" t="s">
        <v>68</v>
      </c>
      <c r="D59" s="161"/>
      <c r="E59" s="133"/>
      <c r="F59" s="162"/>
      <c r="G59" s="163"/>
      <c r="H59" s="163"/>
      <c r="I59" s="163"/>
      <c r="J59" s="163"/>
      <c r="K59" s="163"/>
      <c r="L59" s="163"/>
      <c r="M59" s="164"/>
      <c r="N59" s="785">
        <v>427.89</v>
      </c>
      <c r="O59" s="163"/>
      <c r="P59" s="163"/>
      <c r="Q59" s="165">
        <v>621.80999999999995</v>
      </c>
      <c r="R59" s="166">
        <f t="shared" ref="R59:R98" si="23">SUM(F59:Q59)</f>
        <v>1049.6999999999998</v>
      </c>
    </row>
    <row r="60" spans="1:18" ht="18" customHeight="1" x14ac:dyDescent="0.2">
      <c r="A60" s="167" t="s">
        <v>0</v>
      </c>
      <c r="B60" s="168" t="s">
        <v>85</v>
      </c>
      <c r="C60" s="137" t="s">
        <v>68</v>
      </c>
      <c r="D60" s="149"/>
      <c r="E60" s="139"/>
      <c r="F60" s="146"/>
      <c r="G60" s="146"/>
      <c r="H60" s="146"/>
      <c r="I60" s="146"/>
      <c r="J60" s="146"/>
      <c r="K60" s="146"/>
      <c r="L60" s="146"/>
      <c r="M60" s="147"/>
      <c r="N60" s="786">
        <v>31.8</v>
      </c>
      <c r="O60" s="146"/>
      <c r="P60" s="146"/>
      <c r="Q60" s="1110">
        <v>565.5</v>
      </c>
      <c r="R60" s="141">
        <f t="shared" si="23"/>
        <v>597.29999999999995</v>
      </c>
    </row>
    <row r="61" spans="1:18" ht="18" customHeight="1" thickBot="1" x14ac:dyDescent="0.25">
      <c r="A61" s="167" t="s">
        <v>0</v>
      </c>
      <c r="B61" s="170" t="s">
        <v>353</v>
      </c>
      <c r="C61" s="137" t="s">
        <v>68</v>
      </c>
      <c r="D61" s="152"/>
      <c r="E61" s="153"/>
      <c r="F61" s="789">
        <v>150</v>
      </c>
      <c r="G61" s="789">
        <v>100</v>
      </c>
      <c r="H61" s="789">
        <v>200</v>
      </c>
      <c r="I61" s="789">
        <v>140</v>
      </c>
      <c r="J61" s="789">
        <v>100</v>
      </c>
      <c r="K61" s="789">
        <v>150</v>
      </c>
      <c r="L61" s="789">
        <v>100</v>
      </c>
      <c r="M61" s="789">
        <v>0</v>
      </c>
      <c r="N61" s="754">
        <v>20</v>
      </c>
      <c r="O61" s="754">
        <v>100</v>
      </c>
      <c r="P61" s="754">
        <v>0</v>
      </c>
      <c r="Q61" s="105">
        <v>100</v>
      </c>
      <c r="R61" s="141">
        <f t="shared" si="23"/>
        <v>1160</v>
      </c>
    </row>
    <row r="62" spans="1:18" ht="18" customHeight="1" thickBot="1" x14ac:dyDescent="0.25">
      <c r="A62" s="171" t="s">
        <v>0</v>
      </c>
      <c r="B62" s="172" t="s">
        <v>89</v>
      </c>
      <c r="C62" s="173" t="s">
        <v>68</v>
      </c>
      <c r="D62" s="174" t="s">
        <v>69</v>
      </c>
      <c r="E62" s="175"/>
      <c r="F62" s="791">
        <v>21.73</v>
      </c>
      <c r="G62" s="934">
        <v>21.73</v>
      </c>
      <c r="H62" s="934">
        <v>21.73</v>
      </c>
      <c r="I62" s="934">
        <v>21.73</v>
      </c>
      <c r="J62" s="934">
        <v>21.73</v>
      </c>
      <c r="K62" s="934">
        <v>21.73</v>
      </c>
      <c r="L62" s="934">
        <v>21.73</v>
      </c>
      <c r="M62" s="934">
        <v>21.73</v>
      </c>
      <c r="N62" s="777">
        <v>21.73</v>
      </c>
      <c r="O62" s="777">
        <v>21.73</v>
      </c>
      <c r="P62" s="777">
        <v>21.73</v>
      </c>
      <c r="Q62" s="787">
        <v>21.73</v>
      </c>
      <c r="R62" s="176">
        <f t="shared" si="23"/>
        <v>260.75999999999993</v>
      </c>
    </row>
    <row r="63" spans="1:18" ht="18" customHeight="1" x14ac:dyDescent="0.2">
      <c r="A63" s="167" t="s">
        <v>0</v>
      </c>
      <c r="B63" s="830" t="s">
        <v>90</v>
      </c>
      <c r="C63" s="131" t="s">
        <v>68</v>
      </c>
      <c r="D63" s="161"/>
      <c r="E63" s="133"/>
      <c r="F63" s="162"/>
      <c r="G63" s="163"/>
      <c r="H63" s="163"/>
      <c r="I63" s="877"/>
      <c r="J63" s="163"/>
      <c r="K63" s="163"/>
      <c r="L63" s="163"/>
      <c r="M63" s="163"/>
      <c r="N63" s="831"/>
      <c r="O63" s="831"/>
      <c r="P63" s="831"/>
      <c r="Q63" s="832"/>
      <c r="R63" s="141">
        <f t="shared" si="23"/>
        <v>0</v>
      </c>
    </row>
    <row r="64" spans="1:18" ht="18" customHeight="1" x14ac:dyDescent="0.2">
      <c r="A64" s="167" t="s">
        <v>0</v>
      </c>
      <c r="B64" s="833" t="s">
        <v>91</v>
      </c>
      <c r="C64" s="137" t="s">
        <v>68</v>
      </c>
      <c r="D64" s="149"/>
      <c r="E64" s="139"/>
      <c r="F64" s="177"/>
      <c r="G64" s="146"/>
      <c r="H64" s="146"/>
      <c r="I64" s="146"/>
      <c r="J64" s="146"/>
      <c r="K64" s="146"/>
      <c r="L64" s="146"/>
      <c r="M64" s="146"/>
      <c r="N64" s="178"/>
      <c r="O64" s="755">
        <v>50</v>
      </c>
      <c r="P64" s="178"/>
      <c r="Q64" s="179"/>
      <c r="R64" s="141">
        <f t="shared" si="23"/>
        <v>50</v>
      </c>
    </row>
    <row r="65" spans="1:18" ht="18" customHeight="1" thickBot="1" x14ac:dyDescent="0.25">
      <c r="A65" s="180" t="s">
        <v>0</v>
      </c>
      <c r="B65" s="834" t="s">
        <v>92</v>
      </c>
      <c r="C65" s="181" t="s">
        <v>68</v>
      </c>
      <c r="D65" s="182"/>
      <c r="E65" s="183"/>
      <c r="F65" s="893">
        <v>50</v>
      </c>
      <c r="G65" s="893">
        <v>50</v>
      </c>
      <c r="H65" s="893">
        <v>100</v>
      </c>
      <c r="I65" s="893">
        <v>30</v>
      </c>
      <c r="J65" s="893">
        <v>30</v>
      </c>
      <c r="K65" s="893">
        <v>88.31</v>
      </c>
      <c r="L65" s="893">
        <v>30</v>
      </c>
      <c r="M65" s="893">
        <v>75.099999999999994</v>
      </c>
      <c r="N65" s="773">
        <v>112.6</v>
      </c>
      <c r="O65" s="773">
        <v>60.02</v>
      </c>
      <c r="P65" s="773">
        <v>50</v>
      </c>
      <c r="Q65" s="184">
        <v>50</v>
      </c>
      <c r="R65" s="141">
        <f t="shared" si="23"/>
        <v>726.03</v>
      </c>
    </row>
    <row r="66" spans="1:18" ht="18" customHeight="1" x14ac:dyDescent="0.2">
      <c r="A66" s="185" t="s">
        <v>0</v>
      </c>
      <c r="B66" s="186" t="s">
        <v>93</v>
      </c>
      <c r="C66" s="187" t="s">
        <v>68</v>
      </c>
      <c r="D66" s="188"/>
      <c r="E66" s="189"/>
      <c r="F66" s="190"/>
      <c r="G66" s="191"/>
      <c r="H66" s="191"/>
      <c r="I66" s="191"/>
      <c r="J66" s="191"/>
      <c r="K66" s="993">
        <v>58.34</v>
      </c>
      <c r="L66" s="191"/>
      <c r="M66" s="191"/>
      <c r="N66" s="192"/>
      <c r="O66" s="192"/>
      <c r="P66" s="192"/>
      <c r="Q66" s="193"/>
      <c r="R66" s="134">
        <f t="shared" si="23"/>
        <v>58.34</v>
      </c>
    </row>
    <row r="67" spans="1:18" ht="18" customHeight="1" x14ac:dyDescent="0.2">
      <c r="A67" s="167" t="s">
        <v>0</v>
      </c>
      <c r="B67" s="194" t="s">
        <v>94</v>
      </c>
      <c r="C67" s="137" t="s">
        <v>68</v>
      </c>
      <c r="D67" s="149"/>
      <c r="E67" s="139"/>
      <c r="F67" s="177"/>
      <c r="G67" s="146"/>
      <c r="H67" s="146"/>
      <c r="I67" s="146"/>
      <c r="J67" s="146"/>
      <c r="K67" s="146"/>
      <c r="L67" s="146"/>
      <c r="M67" s="146"/>
      <c r="N67" s="754">
        <v>160</v>
      </c>
      <c r="O67" s="178"/>
      <c r="P67" s="178"/>
      <c r="Q67" s="179"/>
      <c r="R67" s="141">
        <f t="shared" si="23"/>
        <v>160</v>
      </c>
    </row>
    <row r="68" spans="1:18" ht="18" customHeight="1" thickBot="1" x14ac:dyDescent="0.25">
      <c r="A68" s="167" t="s">
        <v>0</v>
      </c>
      <c r="B68" s="195" t="s">
        <v>95</v>
      </c>
      <c r="C68" s="151" t="s">
        <v>68</v>
      </c>
      <c r="D68" s="196" t="s">
        <v>96</v>
      </c>
      <c r="E68" s="153"/>
      <c r="F68" s="931">
        <v>49.65</v>
      </c>
      <c r="G68" s="931">
        <v>31.8</v>
      </c>
      <c r="H68" s="931">
        <v>39.11</v>
      </c>
      <c r="I68" s="931">
        <v>48.51</v>
      </c>
      <c r="J68" s="931">
        <v>45.99</v>
      </c>
      <c r="K68" s="931">
        <v>36.24</v>
      </c>
      <c r="L68" s="931">
        <v>36.46</v>
      </c>
      <c r="M68" s="931">
        <v>55.22</v>
      </c>
      <c r="N68" s="788">
        <v>36.75</v>
      </c>
      <c r="O68" s="788">
        <v>38.78</v>
      </c>
      <c r="P68" s="788">
        <v>22.18</v>
      </c>
      <c r="Q68" s="197">
        <v>50</v>
      </c>
      <c r="R68" s="158">
        <f t="shared" si="23"/>
        <v>490.69</v>
      </c>
    </row>
    <row r="69" spans="1:18" ht="18" customHeight="1" x14ac:dyDescent="0.2">
      <c r="A69" s="167" t="s">
        <v>0</v>
      </c>
      <c r="B69" s="198" t="s">
        <v>97</v>
      </c>
      <c r="C69" s="131" t="s">
        <v>68</v>
      </c>
      <c r="D69" s="161"/>
      <c r="E69" s="133"/>
      <c r="F69" s="935">
        <v>228.1</v>
      </c>
      <c r="G69" s="163"/>
      <c r="H69" s="163"/>
      <c r="I69" s="163"/>
      <c r="J69" s="163"/>
      <c r="K69" s="163"/>
      <c r="L69" s="163"/>
      <c r="M69" s="163"/>
      <c r="N69" s="199"/>
      <c r="O69" s="199"/>
      <c r="P69" s="199"/>
      <c r="Q69" s="200"/>
      <c r="R69" s="134">
        <f t="shared" si="23"/>
        <v>228.1</v>
      </c>
    </row>
    <row r="70" spans="1:18" ht="18" customHeight="1" x14ac:dyDescent="0.2">
      <c r="A70" s="167" t="s">
        <v>0</v>
      </c>
      <c r="B70" s="201" t="s">
        <v>98</v>
      </c>
      <c r="C70" s="137" t="s">
        <v>68</v>
      </c>
      <c r="D70" s="149"/>
      <c r="E70" s="139"/>
      <c r="F70" s="177"/>
      <c r="G70" s="146"/>
      <c r="H70" s="789">
        <v>25</v>
      </c>
      <c r="I70" s="146"/>
      <c r="J70" s="146"/>
      <c r="K70" s="146"/>
      <c r="L70" s="146"/>
      <c r="M70" s="146"/>
      <c r="N70" s="178"/>
      <c r="O70" s="178"/>
      <c r="P70" s="178"/>
      <c r="Q70" s="179"/>
      <c r="R70" s="141">
        <f t="shared" si="23"/>
        <v>25</v>
      </c>
    </row>
    <row r="71" spans="1:18" ht="18" customHeight="1" x14ac:dyDescent="0.2">
      <c r="A71" s="167" t="s">
        <v>0</v>
      </c>
      <c r="B71" s="201" t="s">
        <v>99</v>
      </c>
      <c r="C71" s="137" t="s">
        <v>68</v>
      </c>
      <c r="D71" s="149"/>
      <c r="E71" s="139"/>
      <c r="F71" s="177"/>
      <c r="G71" s="146"/>
      <c r="H71" s="789">
        <v>25</v>
      </c>
      <c r="I71" s="146"/>
      <c r="J71" s="146"/>
      <c r="K71" s="146"/>
      <c r="L71" s="146"/>
      <c r="M71" s="146"/>
      <c r="N71" s="178"/>
      <c r="O71" s="178"/>
      <c r="P71" s="178"/>
      <c r="Q71" s="179"/>
      <c r="R71" s="141">
        <f t="shared" si="23"/>
        <v>25</v>
      </c>
    </row>
    <row r="72" spans="1:18" ht="18" customHeight="1" x14ac:dyDescent="0.2">
      <c r="A72" s="167" t="s">
        <v>0</v>
      </c>
      <c r="B72" s="201" t="s">
        <v>100</v>
      </c>
      <c r="C72" s="137" t="s">
        <v>68</v>
      </c>
      <c r="D72" s="149"/>
      <c r="E72" s="139"/>
      <c r="F72" s="177"/>
      <c r="G72" s="146"/>
      <c r="H72" s="789">
        <v>25</v>
      </c>
      <c r="I72" s="146"/>
      <c r="J72" s="146"/>
      <c r="K72" s="146"/>
      <c r="L72" s="146"/>
      <c r="M72" s="146"/>
      <c r="N72" s="178"/>
      <c r="O72" s="178"/>
      <c r="P72" s="178"/>
      <c r="Q72" s="179"/>
      <c r="R72" s="141">
        <f t="shared" si="23"/>
        <v>25</v>
      </c>
    </row>
    <row r="73" spans="1:18" ht="18" customHeight="1" x14ac:dyDescent="0.2">
      <c r="A73" s="167" t="s">
        <v>0</v>
      </c>
      <c r="B73" s="201" t="s">
        <v>101</v>
      </c>
      <c r="C73" s="137" t="s">
        <v>68</v>
      </c>
      <c r="D73" s="149"/>
      <c r="E73" s="139"/>
      <c r="F73" s="177"/>
      <c r="G73" s="146"/>
      <c r="H73" s="789">
        <v>25</v>
      </c>
      <c r="I73" s="146"/>
      <c r="J73" s="146"/>
      <c r="K73" s="146"/>
      <c r="L73" s="146"/>
      <c r="M73" s="146"/>
      <c r="N73" s="178"/>
      <c r="O73" s="178"/>
      <c r="P73" s="178"/>
      <c r="Q73" s="179"/>
      <c r="R73" s="141">
        <f t="shared" si="23"/>
        <v>25</v>
      </c>
    </row>
    <row r="74" spans="1:18" ht="18" customHeight="1" thickBot="1" x14ac:dyDescent="0.25">
      <c r="A74" s="202" t="s">
        <v>0</v>
      </c>
      <c r="B74" s="203" t="s">
        <v>102</v>
      </c>
      <c r="C74" s="151" t="s">
        <v>68</v>
      </c>
      <c r="D74" s="152"/>
      <c r="E74" s="153"/>
      <c r="F74" s="155"/>
      <c r="G74" s="155"/>
      <c r="H74" s="155"/>
      <c r="I74" s="155"/>
      <c r="J74" s="155"/>
      <c r="K74" s="155"/>
      <c r="L74" s="155"/>
      <c r="M74" s="155"/>
      <c r="N74" s="204"/>
      <c r="O74" s="204"/>
      <c r="P74" s="204"/>
      <c r="Q74" s="205">
        <v>350</v>
      </c>
      <c r="R74" s="206">
        <f t="shared" si="23"/>
        <v>350</v>
      </c>
    </row>
    <row r="75" spans="1:18" ht="18" customHeight="1" x14ac:dyDescent="0.2">
      <c r="A75" s="159" t="s">
        <v>0</v>
      </c>
      <c r="B75" s="924" t="s">
        <v>103</v>
      </c>
      <c r="C75" s="131" t="s">
        <v>68</v>
      </c>
      <c r="D75" s="132" t="s">
        <v>71</v>
      </c>
      <c r="E75" s="133"/>
      <c r="F75" s="890">
        <v>30</v>
      </c>
      <c r="G75" s="890">
        <v>30</v>
      </c>
      <c r="H75" s="890">
        <v>30</v>
      </c>
      <c r="I75" s="890">
        <v>30</v>
      </c>
      <c r="J75" s="890">
        <v>30</v>
      </c>
      <c r="K75" s="890">
        <v>30</v>
      </c>
      <c r="L75" s="890">
        <v>30</v>
      </c>
      <c r="M75" s="1027">
        <v>30</v>
      </c>
      <c r="N75" s="761">
        <v>30</v>
      </c>
      <c r="O75" s="761">
        <v>30</v>
      </c>
      <c r="P75" s="761">
        <v>30</v>
      </c>
      <c r="Q75" s="762">
        <v>30</v>
      </c>
      <c r="R75" s="134">
        <f t="shared" si="23"/>
        <v>360</v>
      </c>
    </row>
    <row r="76" spans="1:18" ht="18" customHeight="1" x14ac:dyDescent="0.2">
      <c r="A76" s="167" t="s">
        <v>0</v>
      </c>
      <c r="B76" s="925" t="s">
        <v>535</v>
      </c>
      <c r="C76" s="137" t="s">
        <v>68</v>
      </c>
      <c r="D76" s="138" t="s">
        <v>71</v>
      </c>
      <c r="E76" s="139" t="s">
        <v>558</v>
      </c>
      <c r="F76" s="789">
        <v>7.5</v>
      </c>
      <c r="G76" s="789">
        <v>7.5</v>
      </c>
      <c r="H76" s="789">
        <v>7.5</v>
      </c>
      <c r="I76" s="789">
        <v>7.5</v>
      </c>
      <c r="J76" s="789">
        <v>7.5</v>
      </c>
      <c r="K76" s="789">
        <v>7.5</v>
      </c>
      <c r="L76" s="789">
        <v>7.5</v>
      </c>
      <c r="M76" s="1028">
        <v>7.5</v>
      </c>
      <c r="N76" s="755">
        <v>7.5</v>
      </c>
      <c r="O76" s="755">
        <v>7.5</v>
      </c>
      <c r="P76" s="755">
        <v>7.5</v>
      </c>
      <c r="Q76" s="763">
        <v>7.5</v>
      </c>
      <c r="R76" s="141">
        <f t="shared" si="23"/>
        <v>90</v>
      </c>
    </row>
    <row r="77" spans="1:18" ht="18" customHeight="1" x14ac:dyDescent="0.2">
      <c r="A77" s="167" t="s">
        <v>0</v>
      </c>
      <c r="B77" s="925" t="s">
        <v>553</v>
      </c>
      <c r="C77" s="137" t="s">
        <v>68</v>
      </c>
      <c r="D77" s="138"/>
      <c r="E77" s="139" t="s">
        <v>556</v>
      </c>
      <c r="F77" s="755"/>
      <c r="G77" s="755"/>
      <c r="H77" s="755"/>
      <c r="I77" s="755"/>
      <c r="J77" s="755"/>
      <c r="K77" s="755"/>
      <c r="L77" s="755"/>
      <c r="M77" s="1028">
        <v>4.99</v>
      </c>
      <c r="N77" s="755">
        <v>4.99</v>
      </c>
      <c r="O77" s="755">
        <v>4.99</v>
      </c>
      <c r="P77" s="755"/>
      <c r="Q77" s="763"/>
      <c r="R77" s="141"/>
    </row>
    <row r="78" spans="1:18" ht="18" customHeight="1" x14ac:dyDescent="0.2">
      <c r="A78" s="167" t="s">
        <v>0</v>
      </c>
      <c r="B78" s="925" t="s">
        <v>554</v>
      </c>
      <c r="C78" s="137" t="s">
        <v>68</v>
      </c>
      <c r="D78" s="138"/>
      <c r="E78" s="139" t="s">
        <v>557</v>
      </c>
      <c r="F78" s="755"/>
      <c r="G78" s="755"/>
      <c r="H78" s="755"/>
      <c r="I78" s="755"/>
      <c r="J78" s="755"/>
      <c r="K78" s="755"/>
      <c r="L78" s="755"/>
      <c r="M78" s="755"/>
      <c r="N78" s="755"/>
      <c r="O78" s="755"/>
      <c r="P78" s="755"/>
      <c r="Q78" s="763"/>
      <c r="R78" s="141"/>
    </row>
    <row r="79" spans="1:18" ht="18" customHeight="1" x14ac:dyDescent="0.2">
      <c r="A79" s="167" t="s">
        <v>0</v>
      </c>
      <c r="B79" s="925" t="s">
        <v>555</v>
      </c>
      <c r="C79" s="137" t="s">
        <v>68</v>
      </c>
      <c r="D79" s="138"/>
      <c r="E79" s="139" t="s">
        <v>559</v>
      </c>
      <c r="F79" s="755"/>
      <c r="G79" s="755"/>
      <c r="H79" s="755"/>
      <c r="I79" s="755"/>
      <c r="J79" s="755"/>
      <c r="K79" s="755"/>
      <c r="L79" s="755"/>
      <c r="M79" s="755"/>
      <c r="N79" s="755"/>
      <c r="O79" s="755"/>
      <c r="P79" s="755"/>
      <c r="Q79" s="763"/>
      <c r="R79" s="141"/>
    </row>
    <row r="80" spans="1:18" ht="18" customHeight="1" x14ac:dyDescent="0.2">
      <c r="A80" s="167" t="s">
        <v>0</v>
      </c>
      <c r="B80" s="925" t="s">
        <v>354</v>
      </c>
      <c r="C80" s="137" t="s">
        <v>68</v>
      </c>
      <c r="D80" s="138" t="s">
        <v>355</v>
      </c>
      <c r="E80" s="139" t="s">
        <v>355</v>
      </c>
      <c r="F80" s="789">
        <v>6.99</v>
      </c>
      <c r="G80" s="789">
        <v>6.99</v>
      </c>
      <c r="H80" s="789">
        <v>6.99</v>
      </c>
      <c r="I80" s="789">
        <v>6.99</v>
      </c>
      <c r="J80" s="789">
        <v>6.99</v>
      </c>
      <c r="K80" s="789">
        <v>8.99</v>
      </c>
      <c r="L80" s="789">
        <v>8.99</v>
      </c>
      <c r="M80" s="789">
        <v>8.99</v>
      </c>
      <c r="N80" s="754">
        <v>8.99</v>
      </c>
      <c r="O80" s="754">
        <v>8.99</v>
      </c>
      <c r="P80" s="754">
        <v>8.99</v>
      </c>
      <c r="Q80" s="763">
        <v>8.99</v>
      </c>
      <c r="R80" s="141">
        <f t="shared" si="23"/>
        <v>97.88</v>
      </c>
    </row>
    <row r="81" spans="1:18" ht="18" customHeight="1" x14ac:dyDescent="0.2">
      <c r="A81" s="167" t="s">
        <v>0</v>
      </c>
      <c r="B81" s="925" t="s">
        <v>105</v>
      </c>
      <c r="C81" s="137" t="s">
        <v>68</v>
      </c>
      <c r="D81" s="138" t="s">
        <v>73</v>
      </c>
      <c r="E81" s="139" t="s">
        <v>106</v>
      </c>
      <c r="F81" s="789">
        <v>13</v>
      </c>
      <c r="G81" s="789">
        <v>13</v>
      </c>
      <c r="H81" s="789">
        <v>13</v>
      </c>
      <c r="I81" s="789">
        <v>13</v>
      </c>
      <c r="J81" s="789">
        <v>13</v>
      </c>
      <c r="K81" s="789">
        <v>13</v>
      </c>
      <c r="L81" s="789">
        <v>13</v>
      </c>
      <c r="M81" s="1028">
        <v>13</v>
      </c>
      <c r="N81" s="755">
        <v>13</v>
      </c>
      <c r="O81" s="755">
        <v>13</v>
      </c>
      <c r="P81" s="755">
        <v>13</v>
      </c>
      <c r="Q81" s="763">
        <v>13</v>
      </c>
      <c r="R81" s="141">
        <f t="shared" si="23"/>
        <v>156</v>
      </c>
    </row>
    <row r="82" spans="1:18" ht="18" customHeight="1" x14ac:dyDescent="0.2">
      <c r="A82" s="167" t="s">
        <v>0</v>
      </c>
      <c r="B82" s="925" t="s">
        <v>107</v>
      </c>
      <c r="C82" s="137" t="s">
        <v>68</v>
      </c>
      <c r="D82" s="143">
        <v>13</v>
      </c>
      <c r="E82" s="139"/>
      <c r="F82" s="207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9"/>
      <c r="R82" s="141">
        <f t="shared" si="23"/>
        <v>0</v>
      </c>
    </row>
    <row r="83" spans="1:18" ht="18" customHeight="1" x14ac:dyDescent="0.2">
      <c r="A83" s="167" t="s">
        <v>0</v>
      </c>
      <c r="B83" s="925" t="s">
        <v>108</v>
      </c>
      <c r="C83" s="137" t="s">
        <v>68</v>
      </c>
      <c r="D83" s="138" t="s">
        <v>109</v>
      </c>
      <c r="E83" s="139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9"/>
      <c r="R83" s="141">
        <f t="shared" si="23"/>
        <v>0</v>
      </c>
    </row>
    <row r="84" spans="1:18" ht="18" customHeight="1" x14ac:dyDescent="0.2">
      <c r="A84" s="167" t="s">
        <v>0</v>
      </c>
      <c r="B84" s="925" t="s">
        <v>110</v>
      </c>
      <c r="C84" s="137" t="s">
        <v>68</v>
      </c>
      <c r="D84" s="138">
        <v>7</v>
      </c>
      <c r="E84" s="139" t="s">
        <v>106</v>
      </c>
      <c r="F84" s="65"/>
      <c r="G84" s="65"/>
      <c r="H84" s="208"/>
      <c r="I84" s="208"/>
      <c r="J84" s="208"/>
      <c r="K84" s="208"/>
      <c r="L84" s="208"/>
      <c r="M84" s="208"/>
      <c r="N84" s="208"/>
      <c r="O84" s="208"/>
      <c r="P84" s="208"/>
      <c r="Q84" s="209"/>
      <c r="R84" s="141">
        <f t="shared" si="23"/>
        <v>0</v>
      </c>
    </row>
    <row r="85" spans="1:18" ht="18" customHeight="1" x14ac:dyDescent="0.2">
      <c r="A85" s="167" t="s">
        <v>0</v>
      </c>
      <c r="B85" s="925" t="s">
        <v>111</v>
      </c>
      <c r="C85" s="137" t="s">
        <v>68</v>
      </c>
      <c r="D85" s="138" t="s">
        <v>112</v>
      </c>
      <c r="E85" s="139" t="s">
        <v>106</v>
      </c>
      <c r="F85" s="65"/>
      <c r="G85" s="65"/>
      <c r="H85" s="208"/>
      <c r="I85" s="208"/>
      <c r="J85" s="208"/>
      <c r="K85" s="208"/>
      <c r="L85" s="208"/>
      <c r="M85" s="208"/>
      <c r="N85" s="208"/>
      <c r="O85" s="208"/>
      <c r="P85" s="208"/>
      <c r="Q85" s="209"/>
      <c r="R85" s="141">
        <f t="shared" si="23"/>
        <v>0</v>
      </c>
    </row>
    <row r="86" spans="1:18" ht="18" customHeight="1" x14ac:dyDescent="0.2">
      <c r="A86" s="167" t="s">
        <v>0</v>
      </c>
      <c r="B86" s="925" t="s">
        <v>113</v>
      </c>
      <c r="C86" s="137" t="s">
        <v>68</v>
      </c>
      <c r="D86" s="143" t="s">
        <v>114</v>
      </c>
      <c r="E86" s="139" t="s">
        <v>106</v>
      </c>
      <c r="F86" s="65"/>
      <c r="G86" s="65"/>
      <c r="H86" s="65"/>
      <c r="I86" s="208"/>
      <c r="J86" s="208"/>
      <c r="K86" s="208"/>
      <c r="L86" s="208"/>
      <c r="M86" s="208"/>
      <c r="N86" s="208"/>
      <c r="O86" s="208"/>
      <c r="P86" s="208"/>
      <c r="Q86" s="209"/>
      <c r="R86" s="141">
        <f t="shared" si="23"/>
        <v>0</v>
      </c>
    </row>
    <row r="87" spans="1:18" ht="18" customHeight="1" x14ac:dyDescent="0.2">
      <c r="A87" s="167" t="s">
        <v>0</v>
      </c>
      <c r="B87" s="925" t="s">
        <v>115</v>
      </c>
      <c r="C87" s="137" t="s">
        <v>68</v>
      </c>
      <c r="D87" s="149"/>
      <c r="E87" s="139"/>
      <c r="F87" s="177"/>
      <c r="G87" s="146"/>
      <c r="H87" s="146"/>
      <c r="I87" s="146"/>
      <c r="J87" s="1001">
        <v>25</v>
      </c>
      <c r="K87" s="146"/>
      <c r="L87" s="146"/>
      <c r="M87" s="146"/>
      <c r="N87" s="145"/>
      <c r="O87" s="145"/>
      <c r="P87" s="145"/>
      <c r="Q87" s="210"/>
      <c r="R87" s="141">
        <f t="shared" si="23"/>
        <v>25</v>
      </c>
    </row>
    <row r="88" spans="1:18" ht="18" customHeight="1" x14ac:dyDescent="0.2">
      <c r="A88" s="167" t="s">
        <v>0</v>
      </c>
      <c r="B88" s="925" t="s">
        <v>116</v>
      </c>
      <c r="C88" s="137" t="s">
        <v>68</v>
      </c>
      <c r="D88" s="149"/>
      <c r="E88" s="139" t="s">
        <v>0</v>
      </c>
      <c r="F88" s="177"/>
      <c r="G88" s="146"/>
      <c r="H88" s="146"/>
      <c r="I88" s="146"/>
      <c r="J88" s="146"/>
      <c r="K88" s="146"/>
      <c r="L88" s="146"/>
      <c r="M88" s="146"/>
      <c r="N88" s="178"/>
      <c r="O88" s="755">
        <v>49.9</v>
      </c>
      <c r="P88" s="156"/>
      <c r="Q88" s="179"/>
      <c r="R88" s="141">
        <f t="shared" si="23"/>
        <v>49.9</v>
      </c>
    </row>
    <row r="89" spans="1:18" ht="18" customHeight="1" x14ac:dyDescent="0.2">
      <c r="A89" s="167" t="s">
        <v>0</v>
      </c>
      <c r="B89" s="925" t="s">
        <v>117</v>
      </c>
      <c r="C89" s="151" t="s">
        <v>68</v>
      </c>
      <c r="D89" s="152"/>
      <c r="E89" s="153"/>
      <c r="F89" s="211"/>
      <c r="G89" s="155"/>
      <c r="H89" s="155"/>
      <c r="I89" s="931">
        <v>35</v>
      </c>
      <c r="J89" s="155"/>
      <c r="K89" s="155"/>
      <c r="L89" s="155"/>
      <c r="M89" s="155"/>
      <c r="N89" s="204"/>
      <c r="O89" s="156"/>
      <c r="P89" s="156"/>
      <c r="Q89" s="212"/>
      <c r="R89" s="141">
        <f t="shared" si="23"/>
        <v>35</v>
      </c>
    </row>
    <row r="90" spans="1:18" ht="18" customHeight="1" thickBot="1" x14ac:dyDescent="0.25">
      <c r="A90" s="180" t="s">
        <v>0</v>
      </c>
      <c r="B90" s="926" t="s">
        <v>118</v>
      </c>
      <c r="C90" s="181" t="s">
        <v>68</v>
      </c>
      <c r="D90" s="182"/>
      <c r="E90" s="183" t="s">
        <v>106</v>
      </c>
      <c r="F90" s="927">
        <v>19.989999999999998</v>
      </c>
      <c r="G90" s="973">
        <v>10.99</v>
      </c>
      <c r="H90" s="973">
        <v>21.99</v>
      </c>
      <c r="I90" s="973">
        <v>21.99</v>
      </c>
      <c r="J90" s="973">
        <v>21.99</v>
      </c>
      <c r="K90" s="973">
        <v>21.99</v>
      </c>
      <c r="L90" s="973">
        <v>21.99</v>
      </c>
      <c r="M90" s="973">
        <v>21.99</v>
      </c>
      <c r="N90" s="1013">
        <v>21.99</v>
      </c>
      <c r="O90" s="1013">
        <v>21.99</v>
      </c>
      <c r="P90" s="1013">
        <v>21.99</v>
      </c>
      <c r="Q90" s="1014">
        <v>21.99</v>
      </c>
      <c r="R90" s="206">
        <f t="shared" si="23"/>
        <v>250.88000000000002</v>
      </c>
    </row>
    <row r="91" spans="1:18" ht="18" customHeight="1" thickBot="1" x14ac:dyDescent="0.25">
      <c r="A91" s="171" t="s">
        <v>0</v>
      </c>
      <c r="B91" s="272" t="s">
        <v>119</v>
      </c>
      <c r="C91" s="923" t="s">
        <v>120</v>
      </c>
      <c r="D91" s="922" t="s">
        <v>79</v>
      </c>
      <c r="E91" s="220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2"/>
      <c r="R91" s="176">
        <f t="shared" si="23"/>
        <v>0</v>
      </c>
    </row>
    <row r="92" spans="1:18" ht="18" customHeight="1" thickBot="1" x14ac:dyDescent="0.25">
      <c r="A92" s="171" t="s">
        <v>0</v>
      </c>
      <c r="B92" s="217" t="s">
        <v>121</v>
      </c>
      <c r="C92" s="918" t="s">
        <v>122</v>
      </c>
      <c r="D92" s="919"/>
      <c r="E92" s="175"/>
      <c r="F92" s="920"/>
      <c r="G92" s="920"/>
      <c r="H92" s="920"/>
      <c r="I92" s="920"/>
      <c r="J92" s="920"/>
      <c r="K92" s="920"/>
      <c r="L92" s="920"/>
      <c r="M92" s="920"/>
      <c r="N92" s="920"/>
      <c r="O92" s="920"/>
      <c r="P92" s="920"/>
      <c r="Q92" s="921"/>
      <c r="R92" s="141">
        <f t="shared" si="23"/>
        <v>0</v>
      </c>
    </row>
    <row r="93" spans="1:18" ht="18" customHeight="1" x14ac:dyDescent="0.2">
      <c r="A93" s="185" t="s">
        <v>0</v>
      </c>
      <c r="B93" s="223" t="s">
        <v>123</v>
      </c>
      <c r="C93" s="224" t="s">
        <v>122</v>
      </c>
      <c r="D93" s="224"/>
      <c r="E93" s="226"/>
      <c r="F93" s="227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9"/>
      <c r="R93" s="134">
        <f t="shared" si="23"/>
        <v>0</v>
      </c>
    </row>
    <row r="94" spans="1:18" ht="18" customHeight="1" thickBot="1" x14ac:dyDescent="0.25">
      <c r="A94" s="180" t="s">
        <v>0</v>
      </c>
      <c r="B94" s="230" t="s">
        <v>124</v>
      </c>
      <c r="C94" s="231" t="s">
        <v>122</v>
      </c>
      <c r="D94" s="231"/>
      <c r="E94" s="232"/>
      <c r="F94" s="233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34"/>
      <c r="R94" s="141">
        <f t="shared" si="23"/>
        <v>0</v>
      </c>
    </row>
    <row r="95" spans="1:18" ht="18" customHeight="1" x14ac:dyDescent="0.2">
      <c r="A95" s="159" t="s">
        <v>0</v>
      </c>
      <c r="B95" s="235" t="s">
        <v>125</v>
      </c>
      <c r="C95" s="236" t="s">
        <v>126</v>
      </c>
      <c r="D95" s="237"/>
      <c r="E95" s="133"/>
      <c r="F95" s="891">
        <v>0</v>
      </c>
      <c r="G95" s="946">
        <v>0</v>
      </c>
      <c r="H95" s="946">
        <v>500</v>
      </c>
      <c r="I95" s="946">
        <v>500</v>
      </c>
      <c r="J95" s="946">
        <v>500</v>
      </c>
      <c r="K95" s="946">
        <v>500</v>
      </c>
      <c r="L95" s="946">
        <v>500</v>
      </c>
      <c r="M95" s="946">
        <v>500</v>
      </c>
      <c r="N95" s="828">
        <v>500</v>
      </c>
      <c r="O95" s="828">
        <v>500</v>
      </c>
      <c r="P95" s="828">
        <v>500</v>
      </c>
      <c r="Q95" s="829">
        <v>500</v>
      </c>
      <c r="R95" s="134">
        <f t="shared" si="23"/>
        <v>5000</v>
      </c>
    </row>
    <row r="96" spans="1:18" ht="18" customHeight="1" x14ac:dyDescent="0.2">
      <c r="A96" s="167" t="s">
        <v>0</v>
      </c>
      <c r="B96" s="239" t="s">
        <v>127</v>
      </c>
      <c r="C96" s="240" t="s">
        <v>126</v>
      </c>
      <c r="D96" s="241"/>
      <c r="E96" s="139"/>
      <c r="F96" s="789">
        <v>1000</v>
      </c>
      <c r="G96" s="789">
        <v>0</v>
      </c>
      <c r="H96" s="789">
        <v>500</v>
      </c>
      <c r="I96" s="789">
        <v>500</v>
      </c>
      <c r="J96" s="789">
        <v>500</v>
      </c>
      <c r="K96" s="789">
        <v>500</v>
      </c>
      <c r="L96" s="789">
        <v>500</v>
      </c>
      <c r="M96" s="789">
        <v>500</v>
      </c>
      <c r="N96" s="754">
        <v>500</v>
      </c>
      <c r="O96" s="754">
        <v>500</v>
      </c>
      <c r="P96" s="754">
        <v>500</v>
      </c>
      <c r="Q96" s="106">
        <v>500</v>
      </c>
      <c r="R96" s="141">
        <f t="shared" si="23"/>
        <v>6000</v>
      </c>
    </row>
    <row r="97" spans="1:19" ht="18" customHeight="1" x14ac:dyDescent="0.2">
      <c r="A97" s="167" t="s">
        <v>0</v>
      </c>
      <c r="B97" s="239" t="s">
        <v>128</v>
      </c>
      <c r="C97" s="240" t="s">
        <v>126</v>
      </c>
      <c r="D97" s="241"/>
      <c r="E97" s="153"/>
      <c r="F97" s="242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141">
        <f t="shared" si="23"/>
        <v>0</v>
      </c>
      <c r="S97" s="243"/>
    </row>
    <row r="98" spans="1:19" ht="18" customHeight="1" thickBot="1" x14ac:dyDescent="0.25">
      <c r="A98" s="180" t="s">
        <v>0</v>
      </c>
      <c r="B98" s="244" t="s">
        <v>129</v>
      </c>
      <c r="C98" s="245" t="s">
        <v>122</v>
      </c>
      <c r="D98" s="246"/>
      <c r="E98" s="183"/>
      <c r="F98" s="233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34"/>
      <c r="R98" s="158">
        <f t="shared" si="23"/>
        <v>0</v>
      </c>
    </row>
    <row r="99" spans="1:19" ht="18" customHeight="1" thickBot="1" x14ac:dyDescent="0.25">
      <c r="A99" s="247"/>
      <c r="B99" s="248"/>
      <c r="C99" s="247"/>
      <c r="D99" s="249"/>
      <c r="E99" s="2" t="s">
        <v>345</v>
      </c>
      <c r="F99" s="250">
        <f>SUM(F49:F91)+F95+F96</f>
        <v>2696.4</v>
      </c>
      <c r="G99" s="250">
        <f t="shared" ref="G99:Q99" si="24">SUM(G49:G91)+G95+G96</f>
        <v>1338.15</v>
      </c>
      <c r="H99" s="250">
        <f t="shared" si="24"/>
        <v>2565.9899999999998</v>
      </c>
      <c r="I99" s="250">
        <f t="shared" si="24"/>
        <v>2296.9700000000003</v>
      </c>
      <c r="J99" s="250">
        <f t="shared" si="24"/>
        <v>2353.37</v>
      </c>
      <c r="K99" s="250">
        <f t="shared" si="24"/>
        <v>2797.81</v>
      </c>
      <c r="L99" s="250">
        <f t="shared" si="24"/>
        <v>2189.34</v>
      </c>
      <c r="M99" s="250">
        <f t="shared" si="24"/>
        <v>2340.5100000000002</v>
      </c>
      <c r="N99" s="250">
        <f t="shared" si="24"/>
        <v>2830.88</v>
      </c>
      <c r="O99" s="250">
        <f t="shared" si="24"/>
        <v>2408.8200000000002</v>
      </c>
      <c r="P99" s="250">
        <f t="shared" si="24"/>
        <v>2260.08</v>
      </c>
      <c r="Q99" s="250">
        <f t="shared" si="24"/>
        <v>4080.6699999999996</v>
      </c>
      <c r="R99" s="839">
        <f>SUM(F99:Q99)</f>
        <v>30158.989999999998</v>
      </c>
    </row>
    <row r="100" spans="1:19" ht="18" customHeight="1" thickBot="1" x14ac:dyDescent="0.25">
      <c r="A100" s="247"/>
      <c r="B100" s="248"/>
      <c r="C100" s="247"/>
      <c r="D100" s="249"/>
      <c r="E100" s="2" t="s">
        <v>346</v>
      </c>
      <c r="F100" s="250">
        <f t="shared" ref="F100:Q100" si="25">F99+F48</f>
        <v>3200.77</v>
      </c>
      <c r="G100" s="250">
        <f t="shared" si="25"/>
        <v>1360.39</v>
      </c>
      <c r="H100" s="250">
        <f t="shared" si="25"/>
        <v>4210.13</v>
      </c>
      <c r="I100" s="250">
        <f t="shared" si="25"/>
        <v>5091.5600000000004</v>
      </c>
      <c r="J100" s="250">
        <f t="shared" si="25"/>
        <v>2472.62</v>
      </c>
      <c r="K100" s="250">
        <f t="shared" si="25"/>
        <v>4136.1099999999997</v>
      </c>
      <c r="L100" s="250">
        <f t="shared" si="25"/>
        <v>3377.4300000000003</v>
      </c>
      <c r="M100" s="250">
        <f t="shared" si="25"/>
        <v>2534.13</v>
      </c>
      <c r="N100" s="250">
        <f t="shared" si="25"/>
        <v>2830.88</v>
      </c>
      <c r="O100" s="250">
        <f t="shared" si="25"/>
        <v>2408.8200000000002</v>
      </c>
      <c r="P100" s="250">
        <f t="shared" si="25"/>
        <v>2260.08</v>
      </c>
      <c r="Q100" s="250">
        <f t="shared" si="25"/>
        <v>4080.6699999999996</v>
      </c>
      <c r="R100" s="839">
        <f>SUM(F100:Q100)</f>
        <v>37963.590000000004</v>
      </c>
    </row>
    <row r="101" spans="1:19" ht="18" customHeight="1" thickBot="1" x14ac:dyDescent="0.25">
      <c r="A101" s="247"/>
      <c r="B101" s="248"/>
      <c r="C101" s="247"/>
      <c r="D101" s="249"/>
      <c r="F101" s="247"/>
      <c r="G101" s="247"/>
      <c r="H101" s="247"/>
      <c r="I101" s="247"/>
      <c r="J101" s="247"/>
      <c r="K101" s="247"/>
      <c r="L101" s="247"/>
      <c r="M101" s="247"/>
      <c r="N101" s="247"/>
      <c r="O101" s="247"/>
      <c r="P101" s="4"/>
      <c r="R101" s="4"/>
    </row>
    <row r="102" spans="1:19" ht="18" customHeight="1" thickBot="1" x14ac:dyDescent="0.25">
      <c r="A102" s="899" t="s">
        <v>1</v>
      </c>
      <c r="B102" s="900" t="s">
        <v>340</v>
      </c>
      <c r="C102" s="901"/>
      <c r="D102" s="902"/>
      <c r="E102" s="903"/>
      <c r="F102" s="933">
        <f>IF(MINIMOS!B2="Sí",'GASTOS '!F53,IF(AND(MINIMOS!B2="No",'GASTOS '!F53&lt;1400),1400,'GASTOS '!F53))</f>
        <v>628.72</v>
      </c>
      <c r="G102" s="974">
        <f>IF(MINIMOS!C2="Sí",'GASTOS '!L53,IF(AND(MINIMOS!C2="No",'GASTOS '!L53&lt;1400),1400,'GASTOS '!L53))</f>
        <v>1350.38</v>
      </c>
      <c r="H102" s="974">
        <f>IF(MINIMOS!D2="Sí",'GASTOS '!R53,IF(AND(MINIMOS!D2="No",'GASTOS '!R53&lt;1400),1400,'GASTOS '!R53))</f>
        <v>2188.1799999999998</v>
      </c>
      <c r="I102" s="974">
        <f>IF(MINIMOS!E2="Sí",'GASTOS '!X53,IF(AND(MINIMOS!E2="No",'GASTOS '!X53&lt;1400),1400,'GASTOS '!X53))</f>
        <v>1872.3</v>
      </c>
      <c r="J102" s="974">
        <f>IF(MINIMOS!F2="Sí",'GASTOS '!AD53,IF(AND(MINIMOS!F2="No",'GASTOS '!AD53&lt;1400),1400,'GASTOS '!AD53))</f>
        <v>2173.4300000000003</v>
      </c>
      <c r="K102" s="974">
        <f>IF(MINIMOS!G2="Sí",'GASTOS '!AJ53,IF(AND(MINIMOS!G2="No",'GASTOS '!AJ53&lt;1400),1400,'GASTOS '!AJ53))</f>
        <v>1503.24</v>
      </c>
      <c r="L102" s="1024">
        <f>IF(MINIMOS!H2="Sí",'GASTOS '!AP53,IF(AND(MINIMOS!H2="No",'GASTOS '!AP53&lt;1400),1400,'GASTOS '!AP53))</f>
        <v>1948.7300000000002</v>
      </c>
      <c r="M102" s="1024">
        <f>IF(MINIMOS!I2="Sí",'GASTOS '!AV53,IF(AND(MINIMOS!I2="No",'GASTOS '!AV53&lt;1400),1400,'GASTOS '!AV53))</f>
        <v>1406.57</v>
      </c>
      <c r="N102" s="904">
        <f>IF(MINIMOS!J2="Sí",'GASTOS '!BB53,IF(AND(MINIMOS!J2="No",'GASTOS '!BB53&lt;1400),1400,'GASTOS '!BB53))</f>
        <v>1400</v>
      </c>
      <c r="O102" s="904">
        <f>IF(MINIMOS!K2="Sí",'GASTOS '!BH53,IF(AND(MINIMOS!K2="No",'GASTOS '!BH53&lt;1400),1400,'GASTOS '!BH53))</f>
        <v>1400</v>
      </c>
      <c r="P102" s="904">
        <f>IF(MINIMOS!L2="Sí",'GASTOS '!BN53,IF(AND(MINIMOS!L2="No",'GASTOS '!BN53&lt;1400),1400,'GASTOS '!BN53))</f>
        <v>1400</v>
      </c>
      <c r="Q102" s="905">
        <f>IF(MINIMOS!M2="Sí",'GASTOS '!BT53,IF(AND(MINIMOS!M2="No",'GASTOS '!BT53&lt;1400),1400,'GASTOS '!BT53))</f>
        <v>1400</v>
      </c>
      <c r="R102" s="906">
        <f>SUM(F102:Q102)</f>
        <v>18671.55</v>
      </c>
    </row>
    <row r="103" spans="1:19" ht="18" customHeight="1" x14ac:dyDescent="0.2">
      <c r="A103" s="912" t="s">
        <v>1</v>
      </c>
      <c r="B103" s="915" t="s">
        <v>132</v>
      </c>
      <c r="C103" s="131" t="s">
        <v>68</v>
      </c>
      <c r="D103" s="161"/>
      <c r="E103" s="133"/>
      <c r="F103" s="908"/>
      <c r="G103" s="164"/>
      <c r="H103" s="164"/>
      <c r="I103" s="164"/>
      <c r="J103" s="164"/>
      <c r="K103" s="164"/>
      <c r="L103" s="164"/>
      <c r="M103" s="164"/>
      <c r="N103" s="831"/>
      <c r="O103" s="771">
        <v>280.39</v>
      </c>
      <c r="P103" s="831"/>
      <c r="Q103" s="909"/>
      <c r="R103" s="307">
        <f>SUM(F103:Q103)</f>
        <v>280.39</v>
      </c>
    </row>
    <row r="104" spans="1:19" ht="18" customHeight="1" x14ac:dyDescent="0.2">
      <c r="A104" s="913" t="s">
        <v>1</v>
      </c>
      <c r="B104" s="916" t="s">
        <v>133</v>
      </c>
      <c r="C104" s="137" t="s">
        <v>68</v>
      </c>
      <c r="D104" s="149"/>
      <c r="E104" s="139"/>
      <c r="F104" s="144"/>
      <c r="G104" s="146"/>
      <c r="H104" s="146"/>
      <c r="I104" s="145"/>
      <c r="J104" s="146"/>
      <c r="K104" s="146"/>
      <c r="L104" s="146"/>
      <c r="M104" s="146"/>
      <c r="N104" s="146"/>
      <c r="O104" s="146"/>
      <c r="P104" s="146"/>
      <c r="Q104" s="169">
        <v>350</v>
      </c>
      <c r="R104" s="309">
        <f>SUM(F104:Q104)</f>
        <v>350</v>
      </c>
    </row>
    <row r="105" spans="1:19" ht="18" customHeight="1" thickBot="1" x14ac:dyDescent="0.25">
      <c r="A105" s="914" t="s">
        <v>1</v>
      </c>
      <c r="B105" s="917" t="s">
        <v>134</v>
      </c>
      <c r="C105" s="181" t="s">
        <v>68</v>
      </c>
      <c r="D105" s="262" t="s">
        <v>135</v>
      </c>
      <c r="E105" s="183"/>
      <c r="F105" s="910"/>
      <c r="G105" s="895">
        <v>181.54</v>
      </c>
      <c r="H105" s="215"/>
      <c r="I105" s="215"/>
      <c r="J105" s="215"/>
      <c r="K105" s="215"/>
      <c r="L105" s="215"/>
      <c r="M105" s="215"/>
      <c r="N105" s="215"/>
      <c r="O105" s="215"/>
      <c r="P105" s="215"/>
      <c r="Q105" s="911"/>
      <c r="R105" s="306">
        <v>159.08000000000001</v>
      </c>
    </row>
    <row r="106" spans="1:19" ht="18" customHeight="1" x14ac:dyDescent="0.2">
      <c r="A106" s="253" t="s">
        <v>1</v>
      </c>
      <c r="B106" s="264" t="s">
        <v>136</v>
      </c>
      <c r="C106" s="187" t="s">
        <v>68</v>
      </c>
      <c r="D106" s="225" t="s">
        <v>135</v>
      </c>
      <c r="E106" s="189"/>
      <c r="F106" s="301"/>
      <c r="G106" s="949">
        <v>36.229999999999997</v>
      </c>
      <c r="H106" s="254"/>
      <c r="I106" s="254"/>
      <c r="J106" s="993">
        <v>36.97</v>
      </c>
      <c r="K106" s="254"/>
      <c r="L106" s="254"/>
      <c r="M106" s="1034">
        <v>35.68</v>
      </c>
      <c r="N106" s="192"/>
      <c r="O106" s="192"/>
      <c r="P106" s="907">
        <v>28.68</v>
      </c>
      <c r="Q106" s="193"/>
      <c r="R106" s="166">
        <f t="shared" ref="R106:R123" si="26">SUM(F106:Q106)</f>
        <v>137.56</v>
      </c>
    </row>
    <row r="107" spans="1:19" ht="18" customHeight="1" x14ac:dyDescent="0.2">
      <c r="A107" s="256" t="s">
        <v>1</v>
      </c>
      <c r="B107" s="257" t="s">
        <v>137</v>
      </c>
      <c r="C107" s="137" t="s">
        <v>68</v>
      </c>
      <c r="D107" s="149"/>
      <c r="E107" s="139"/>
      <c r="F107" s="258"/>
      <c r="G107" s="147"/>
      <c r="H107" s="147"/>
      <c r="I107" s="147"/>
      <c r="J107" s="147"/>
      <c r="K107" s="1020">
        <v>57.91</v>
      </c>
      <c r="L107"/>
      <c r="M107" s="81"/>
      <c r="N107" s="81"/>
      <c r="O107" s="81"/>
      <c r="P107" s="81"/>
      <c r="Q107" s="100"/>
      <c r="R107" s="141">
        <f t="shared" si="26"/>
        <v>57.91</v>
      </c>
    </row>
    <row r="108" spans="1:19" ht="18" customHeight="1" x14ac:dyDescent="0.2">
      <c r="A108" s="256" t="s">
        <v>1</v>
      </c>
      <c r="B108" s="257" t="s">
        <v>138</v>
      </c>
      <c r="C108" s="137" t="s">
        <v>68</v>
      </c>
      <c r="D108" s="149"/>
      <c r="E108" s="139"/>
      <c r="F108" s="258"/>
      <c r="G108" s="147"/>
      <c r="H108" s="147"/>
      <c r="I108" s="259"/>
      <c r="J108" s="147"/>
      <c r="K108" s="147"/>
      <c r="L108" s="147"/>
      <c r="M108" s="147"/>
      <c r="N108" s="81"/>
      <c r="O108" s="81"/>
      <c r="P108" s="81"/>
      <c r="Q108" s="100"/>
      <c r="R108" s="141">
        <f t="shared" si="26"/>
        <v>0</v>
      </c>
    </row>
    <row r="109" spans="1:19" ht="18" customHeight="1" x14ac:dyDescent="0.2">
      <c r="A109" s="256" t="s">
        <v>1</v>
      </c>
      <c r="B109" s="257" t="s">
        <v>139</v>
      </c>
      <c r="C109" s="137" t="s">
        <v>68</v>
      </c>
      <c r="D109" s="149"/>
      <c r="E109" s="139"/>
      <c r="F109" s="258"/>
      <c r="G109" s="147"/>
      <c r="H109" s="147"/>
      <c r="I109" s="259"/>
      <c r="J109" s="147"/>
      <c r="K109" s="147"/>
      <c r="L109" s="147"/>
      <c r="M109" s="147"/>
      <c r="N109" s="81"/>
      <c r="O109" s="81"/>
      <c r="P109" s="81"/>
      <c r="Q109" s="100"/>
      <c r="R109" s="141">
        <f t="shared" si="26"/>
        <v>0</v>
      </c>
    </row>
    <row r="110" spans="1:19" ht="18" customHeight="1" thickBot="1" x14ac:dyDescent="0.25">
      <c r="A110" s="260" t="s">
        <v>1</v>
      </c>
      <c r="B110" s="261" t="s">
        <v>140</v>
      </c>
      <c r="C110" s="181" t="s">
        <v>68</v>
      </c>
      <c r="D110" s="262" t="s">
        <v>135</v>
      </c>
      <c r="E110" s="183"/>
      <c r="F110" s="896">
        <v>6.3</v>
      </c>
      <c r="G110" s="895">
        <v>10.71</v>
      </c>
      <c r="H110" s="895">
        <v>8.0500000000000007</v>
      </c>
      <c r="I110" s="895">
        <v>7.1</v>
      </c>
      <c r="J110" s="895">
        <v>6.79</v>
      </c>
      <c r="K110" s="895">
        <v>6.91</v>
      </c>
      <c r="L110" s="895">
        <v>6.87</v>
      </c>
      <c r="M110" s="1033">
        <v>8.7799999999999994</v>
      </c>
      <c r="N110" s="764">
        <v>10</v>
      </c>
      <c r="O110" s="764">
        <v>10</v>
      </c>
      <c r="P110" s="764">
        <v>10</v>
      </c>
      <c r="Q110" s="263">
        <v>10</v>
      </c>
      <c r="R110" s="158">
        <f t="shared" si="26"/>
        <v>101.50999999999999</v>
      </c>
    </row>
    <row r="111" spans="1:19" ht="18" customHeight="1" x14ac:dyDescent="0.2">
      <c r="A111" s="253" t="s">
        <v>1</v>
      </c>
      <c r="B111" s="264" t="s">
        <v>141</v>
      </c>
      <c r="C111" s="187" t="s">
        <v>68</v>
      </c>
      <c r="D111" s="265">
        <v>14</v>
      </c>
      <c r="E111" s="189"/>
      <c r="F111" s="254"/>
      <c r="G111" s="254"/>
      <c r="H111" s="254"/>
      <c r="I111" s="993">
        <v>18.149999999999999</v>
      </c>
      <c r="J111" s="254"/>
      <c r="K111" s="254"/>
      <c r="L111" s="254"/>
      <c r="M111" s="254"/>
      <c r="N111" s="254"/>
      <c r="O111" s="254"/>
      <c r="P111" s="254"/>
      <c r="Q111" s="255"/>
      <c r="R111" s="166">
        <f t="shared" si="26"/>
        <v>18.149999999999999</v>
      </c>
    </row>
    <row r="112" spans="1:19" ht="18" customHeight="1" x14ac:dyDescent="0.2">
      <c r="A112" s="253" t="s">
        <v>1</v>
      </c>
      <c r="B112" s="264" t="s">
        <v>142</v>
      </c>
      <c r="C112" s="187" t="s">
        <v>68</v>
      </c>
      <c r="D112" s="266"/>
      <c r="E112" s="189"/>
      <c r="F112" s="789">
        <v>100</v>
      </c>
      <c r="G112" s="789">
        <v>100</v>
      </c>
      <c r="H112" s="789">
        <v>0</v>
      </c>
      <c r="I112" s="789">
        <v>100</v>
      </c>
      <c r="J112" s="789">
        <v>100</v>
      </c>
      <c r="K112" s="789">
        <v>180</v>
      </c>
      <c r="L112" s="789">
        <v>110</v>
      </c>
      <c r="M112" s="1028">
        <v>240</v>
      </c>
      <c r="N112" s="755">
        <v>100</v>
      </c>
      <c r="O112" s="755">
        <v>100</v>
      </c>
      <c r="P112" s="755">
        <v>100</v>
      </c>
      <c r="Q112" s="755">
        <v>100</v>
      </c>
      <c r="R112" s="141">
        <f t="shared" si="26"/>
        <v>1330</v>
      </c>
    </row>
    <row r="113" spans="1:18" ht="18" customHeight="1" x14ac:dyDescent="0.2">
      <c r="A113" s="253" t="s">
        <v>1</v>
      </c>
      <c r="B113" s="264" t="s">
        <v>143</v>
      </c>
      <c r="C113" s="187" t="s">
        <v>68</v>
      </c>
      <c r="D113" s="266"/>
      <c r="E113" s="189"/>
      <c r="F113" s="789">
        <v>100</v>
      </c>
      <c r="G113" s="789">
        <v>100</v>
      </c>
      <c r="H113" s="789">
        <v>0</v>
      </c>
      <c r="I113" s="789">
        <v>100</v>
      </c>
      <c r="J113" s="789">
        <v>100</v>
      </c>
      <c r="K113" s="789">
        <v>130</v>
      </c>
      <c r="L113" s="789">
        <v>200</v>
      </c>
      <c r="M113" s="1028">
        <v>100</v>
      </c>
      <c r="N113" s="755">
        <v>100</v>
      </c>
      <c r="O113" s="755">
        <v>100</v>
      </c>
      <c r="P113" s="755">
        <v>100</v>
      </c>
      <c r="Q113" s="755">
        <v>100</v>
      </c>
      <c r="R113" s="141">
        <f t="shared" si="26"/>
        <v>1230</v>
      </c>
    </row>
    <row r="114" spans="1:18" ht="18" customHeight="1" x14ac:dyDescent="0.2">
      <c r="A114" s="253" t="s">
        <v>1</v>
      </c>
      <c r="B114" s="264" t="s">
        <v>144</v>
      </c>
      <c r="C114" s="187" t="s">
        <v>68</v>
      </c>
      <c r="D114" s="266"/>
      <c r="E114" s="189"/>
      <c r="F114" s="754"/>
      <c r="G114" s="754"/>
      <c r="H114" s="754"/>
      <c r="I114" s="754"/>
      <c r="J114" s="754"/>
      <c r="K114" s="754"/>
      <c r="L114" s="754"/>
      <c r="M114" s="754"/>
      <c r="N114" s="754"/>
      <c r="O114" s="754"/>
      <c r="P114" s="754"/>
      <c r="Q114" s="754"/>
      <c r="R114" s="141">
        <f t="shared" si="26"/>
        <v>0</v>
      </c>
    </row>
    <row r="115" spans="1:18" ht="18" customHeight="1" thickBot="1" x14ac:dyDescent="0.25">
      <c r="A115" s="267" t="s">
        <v>1</v>
      </c>
      <c r="B115" s="268" t="s">
        <v>145</v>
      </c>
      <c r="C115" s="269" t="s">
        <v>68</v>
      </c>
      <c r="D115" s="270"/>
      <c r="E115" s="271"/>
      <c r="F115" s="790">
        <v>275</v>
      </c>
      <c r="G115" s="790">
        <v>275</v>
      </c>
      <c r="H115" s="790">
        <v>275</v>
      </c>
      <c r="I115" s="790">
        <v>275</v>
      </c>
      <c r="J115" s="790">
        <v>275</v>
      </c>
      <c r="K115" s="765"/>
      <c r="L115" s="765"/>
      <c r="M115" s="766"/>
      <c r="N115" s="766"/>
      <c r="O115" s="766"/>
      <c r="P115" s="766"/>
      <c r="Q115" s="767"/>
      <c r="R115" s="141">
        <f t="shared" si="26"/>
        <v>1375</v>
      </c>
    </row>
    <row r="116" spans="1:18" ht="18" customHeight="1" thickBot="1" x14ac:dyDescent="0.25">
      <c r="A116" s="252" t="s">
        <v>1</v>
      </c>
      <c r="B116" s="272" t="s">
        <v>146</v>
      </c>
      <c r="C116" s="218" t="s">
        <v>120</v>
      </c>
      <c r="D116" s="219" t="s">
        <v>79</v>
      </c>
      <c r="E116" s="175"/>
      <c r="F116" s="894">
        <v>500</v>
      </c>
      <c r="G116" s="894">
        <v>500</v>
      </c>
      <c r="H116" s="894">
        <v>500</v>
      </c>
      <c r="I116" s="894">
        <v>500</v>
      </c>
      <c r="J116" s="894">
        <v>500</v>
      </c>
      <c r="K116" s="894">
        <v>500</v>
      </c>
      <c r="L116" s="894">
        <v>500</v>
      </c>
      <c r="M116" s="1029">
        <v>500</v>
      </c>
      <c r="N116" s="768">
        <v>500</v>
      </c>
      <c r="O116" s="768">
        <v>500</v>
      </c>
      <c r="P116" s="768">
        <v>500</v>
      </c>
      <c r="Q116" s="769">
        <v>500</v>
      </c>
      <c r="R116" s="176">
        <f t="shared" si="26"/>
        <v>6000</v>
      </c>
    </row>
    <row r="117" spans="1:18" ht="18" customHeight="1" x14ac:dyDescent="0.2">
      <c r="A117" s="273" t="s">
        <v>1</v>
      </c>
      <c r="B117" s="274" t="s">
        <v>147</v>
      </c>
      <c r="C117" s="275" t="s">
        <v>122</v>
      </c>
      <c r="D117" s="132" t="s">
        <v>135</v>
      </c>
      <c r="E117" s="133"/>
      <c r="F117" s="890">
        <v>33.869999999999997</v>
      </c>
      <c r="G117" s="877">
        <v>34.85</v>
      </c>
      <c r="H117" s="877">
        <v>34.85</v>
      </c>
      <c r="I117" s="877">
        <v>34.85</v>
      </c>
      <c r="J117" s="877">
        <v>34.85</v>
      </c>
      <c r="K117" s="877">
        <v>34.85</v>
      </c>
      <c r="L117" s="877">
        <v>34.85</v>
      </c>
      <c r="M117" s="877">
        <v>34.85</v>
      </c>
      <c r="N117" s="770">
        <v>34.85</v>
      </c>
      <c r="O117" s="770">
        <v>34.85</v>
      </c>
      <c r="P117" s="770">
        <v>34.85</v>
      </c>
      <c r="Q117" s="772">
        <v>34.85</v>
      </c>
      <c r="R117" s="134">
        <f t="shared" si="26"/>
        <v>417.22000000000008</v>
      </c>
    </row>
    <row r="118" spans="1:18" ht="18" customHeight="1" thickBot="1" x14ac:dyDescent="0.25">
      <c r="A118" s="276" t="s">
        <v>1</v>
      </c>
      <c r="B118" s="230" t="s">
        <v>148</v>
      </c>
      <c r="C118" s="231" t="s">
        <v>122</v>
      </c>
      <c r="D118" s="262" t="s">
        <v>135</v>
      </c>
      <c r="E118" s="183"/>
      <c r="F118" s="895">
        <v>33.869999999999997</v>
      </c>
      <c r="G118" s="893">
        <v>34.85</v>
      </c>
      <c r="H118" s="893">
        <v>34.85</v>
      </c>
      <c r="I118" s="893">
        <v>34.85</v>
      </c>
      <c r="J118" s="893">
        <v>34.85</v>
      </c>
      <c r="K118" s="893">
        <v>34.85</v>
      </c>
      <c r="L118" s="893">
        <v>34.85</v>
      </c>
      <c r="M118" s="893">
        <v>34.85</v>
      </c>
      <c r="N118" s="773">
        <v>34.85</v>
      </c>
      <c r="O118" s="773">
        <v>34.85</v>
      </c>
      <c r="P118" s="773">
        <v>34.85</v>
      </c>
      <c r="Q118" s="774">
        <v>34.85</v>
      </c>
      <c r="R118" s="158">
        <f t="shared" si="26"/>
        <v>417.22000000000008</v>
      </c>
    </row>
    <row r="119" spans="1:18" ht="18" customHeight="1" x14ac:dyDescent="0.2">
      <c r="A119" s="277" t="s">
        <v>1</v>
      </c>
      <c r="B119" s="278" t="s">
        <v>149</v>
      </c>
      <c r="C119" s="236" t="s">
        <v>126</v>
      </c>
      <c r="D119" s="237"/>
      <c r="E119" s="133"/>
      <c r="F119" s="892">
        <v>0</v>
      </c>
      <c r="G119" s="892">
        <v>0</v>
      </c>
      <c r="H119" s="892">
        <v>0</v>
      </c>
      <c r="I119" s="892">
        <v>0</v>
      </c>
      <c r="J119" s="892">
        <v>0</v>
      </c>
      <c r="K119" s="892">
        <v>0</v>
      </c>
      <c r="L119" s="892">
        <v>0</v>
      </c>
      <c r="M119" s="1030">
        <v>0</v>
      </c>
      <c r="N119" s="775">
        <v>0</v>
      </c>
      <c r="O119" s="775">
        <v>0</v>
      </c>
      <c r="P119" s="775">
        <v>0</v>
      </c>
      <c r="Q119" s="776">
        <v>0</v>
      </c>
      <c r="R119" s="134">
        <f t="shared" si="26"/>
        <v>0</v>
      </c>
    </row>
    <row r="120" spans="1:18" ht="18" customHeight="1" x14ac:dyDescent="0.2">
      <c r="A120" s="256" t="s">
        <v>1</v>
      </c>
      <c r="B120" s="279" t="s">
        <v>150</v>
      </c>
      <c r="C120" s="240" t="s">
        <v>126</v>
      </c>
      <c r="D120" s="241"/>
      <c r="E120" s="139"/>
      <c r="F120" s="789">
        <v>0</v>
      </c>
      <c r="G120" s="789">
        <v>0</v>
      </c>
      <c r="H120" s="789">
        <v>0</v>
      </c>
      <c r="I120" s="789">
        <v>0</v>
      </c>
      <c r="J120" s="789">
        <v>0</v>
      </c>
      <c r="K120" s="789">
        <v>0</v>
      </c>
      <c r="L120" s="789">
        <v>0</v>
      </c>
      <c r="M120" s="1031">
        <v>0</v>
      </c>
      <c r="N120" s="755">
        <v>0</v>
      </c>
      <c r="O120" s="755">
        <v>0</v>
      </c>
      <c r="P120" s="755">
        <v>0</v>
      </c>
      <c r="Q120" s="755">
        <v>0</v>
      </c>
      <c r="R120" s="166">
        <f t="shared" si="26"/>
        <v>0</v>
      </c>
    </row>
    <row r="121" spans="1:18" ht="18" customHeight="1" thickBot="1" x14ac:dyDescent="0.25">
      <c r="A121" s="260" t="s">
        <v>1</v>
      </c>
      <c r="B121" s="280" t="s">
        <v>151</v>
      </c>
      <c r="C121" s="245" t="s">
        <v>122</v>
      </c>
      <c r="D121" s="246"/>
      <c r="E121" s="183"/>
      <c r="F121" s="893">
        <v>0</v>
      </c>
      <c r="G121" s="893">
        <v>0</v>
      </c>
      <c r="H121" s="893">
        <v>0</v>
      </c>
      <c r="I121" s="893">
        <v>0</v>
      </c>
      <c r="J121" s="893">
        <v>0</v>
      </c>
      <c r="K121" s="893">
        <v>0</v>
      </c>
      <c r="L121" s="893">
        <v>0</v>
      </c>
      <c r="M121" s="1032">
        <v>0</v>
      </c>
      <c r="N121" s="764">
        <v>0</v>
      </c>
      <c r="O121" s="764">
        <v>0</v>
      </c>
      <c r="P121" s="764">
        <v>0</v>
      </c>
      <c r="Q121" s="774">
        <v>0</v>
      </c>
      <c r="R121" s="281">
        <f t="shared" si="26"/>
        <v>0</v>
      </c>
    </row>
    <row r="122" spans="1:18" ht="18" customHeight="1" thickBot="1" x14ac:dyDescent="0.25">
      <c r="A122" s="247"/>
      <c r="B122" s="248"/>
      <c r="C122" s="247"/>
      <c r="D122" s="249"/>
      <c r="E122" s="2" t="s">
        <v>345</v>
      </c>
      <c r="F122" s="310">
        <f>SUM(F103:F121)</f>
        <v>1049.04</v>
      </c>
      <c r="G122" s="310">
        <f t="shared" ref="G122:Q122" si="27">SUM(G103:G121)</f>
        <v>1273.1799999999998</v>
      </c>
      <c r="H122" s="310">
        <f t="shared" si="27"/>
        <v>852.75</v>
      </c>
      <c r="I122" s="310">
        <f t="shared" si="27"/>
        <v>1069.9499999999998</v>
      </c>
      <c r="J122" s="310">
        <f t="shared" si="27"/>
        <v>1088.4599999999998</v>
      </c>
      <c r="K122" s="310">
        <f t="shared" si="27"/>
        <v>944.52</v>
      </c>
      <c r="L122" s="310">
        <f t="shared" si="27"/>
        <v>886.57</v>
      </c>
      <c r="M122" s="310">
        <f t="shared" si="27"/>
        <v>954.16000000000008</v>
      </c>
      <c r="N122" s="310">
        <f t="shared" si="27"/>
        <v>779.7</v>
      </c>
      <c r="O122" s="310">
        <f t="shared" si="27"/>
        <v>1060.0899999999999</v>
      </c>
      <c r="P122" s="310">
        <f t="shared" si="27"/>
        <v>808.38000000000011</v>
      </c>
      <c r="Q122" s="310">
        <f t="shared" si="27"/>
        <v>1129.6999999999998</v>
      </c>
      <c r="R122" s="840">
        <f>SUM(F122:Q122)</f>
        <v>11896.5</v>
      </c>
    </row>
    <row r="123" spans="1:18" ht="18" customHeight="1" thickBot="1" x14ac:dyDescent="0.25">
      <c r="A123" s="247"/>
      <c r="B123" s="248"/>
      <c r="C123" s="247"/>
      <c r="D123" s="249"/>
      <c r="E123" s="2" t="s">
        <v>346</v>
      </c>
      <c r="F123" s="310">
        <f>F122+F102</f>
        <v>1677.76</v>
      </c>
      <c r="G123" s="310">
        <f t="shared" ref="G123:Q123" si="28">G122+G102</f>
        <v>2623.56</v>
      </c>
      <c r="H123" s="310">
        <f t="shared" si="28"/>
        <v>3040.93</v>
      </c>
      <c r="I123" s="310">
        <f t="shared" si="28"/>
        <v>2942.25</v>
      </c>
      <c r="J123" s="310">
        <f t="shared" si="28"/>
        <v>3261.8900000000003</v>
      </c>
      <c r="K123" s="310">
        <f t="shared" si="28"/>
        <v>2447.7600000000002</v>
      </c>
      <c r="L123" s="310">
        <f t="shared" si="28"/>
        <v>2835.3</v>
      </c>
      <c r="M123" s="310">
        <f t="shared" si="28"/>
        <v>2360.73</v>
      </c>
      <c r="N123" s="310">
        <f t="shared" si="28"/>
        <v>2179.6999999999998</v>
      </c>
      <c r="O123" s="310">
        <f t="shared" si="28"/>
        <v>2460.09</v>
      </c>
      <c r="P123" s="310">
        <f t="shared" si="28"/>
        <v>2208.38</v>
      </c>
      <c r="Q123" s="310">
        <f t="shared" si="28"/>
        <v>2529.6999999999998</v>
      </c>
      <c r="R123" s="840">
        <f t="shared" si="26"/>
        <v>30568.050000000003</v>
      </c>
    </row>
    <row r="124" spans="1:18" ht="18" customHeight="1" thickBot="1" x14ac:dyDescent="0.25">
      <c r="A124" s="247"/>
      <c r="B124" s="248"/>
      <c r="C124" s="247"/>
      <c r="D124" s="249"/>
      <c r="F124" s="247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63"/>
    </row>
    <row r="125" spans="1:18" ht="18" customHeight="1" thickBot="1" x14ac:dyDescent="0.25">
      <c r="A125" s="282" t="s">
        <v>2</v>
      </c>
      <c r="B125" s="283" t="s">
        <v>340</v>
      </c>
      <c r="C125" s="131" t="s">
        <v>68</v>
      </c>
      <c r="D125" s="161"/>
      <c r="E125" s="284"/>
      <c r="F125" s="791">
        <f>IF(MINIMOS!B2="Sí",'GASTOS '!F75,IF(AND(MINIMOS!B2="No",'GASTOS '!F75&lt;500),500,'GASTOS '!F75))</f>
        <v>544.44000000000005</v>
      </c>
      <c r="G125" s="934">
        <f>IF(MINIMOS!D2="Sí",'GASTOS '!L75,IF(AND(MINIMOS!D2="No",'GASTOS '!L75&lt;500),500,'GASTOS '!L75))</f>
        <v>200.99</v>
      </c>
      <c r="H125" s="934">
        <f>IF(MINIMOS!E2="Sí",'GASTOS '!R75,IF(AND(MINIMOS!E2="No",'GASTOS '!R75&lt;500),500,'GASTOS '!R75))</f>
        <v>140</v>
      </c>
      <c r="I125" s="934">
        <f>IF(MINIMOS!E2="Sí",'GASTOS '!X75,IF(AND(MINIMOS!E2="No",'GASTOS '!X75&lt;500),500,'GASTOS '!X75))</f>
        <v>1.05</v>
      </c>
      <c r="J125" s="934">
        <f>IF(MINIMOS!F2="Sí",'GASTOS '!AD75,IF(AND(MINIMOS!F2="No",'GASTOS '!AD75&lt;500),500,'GASTOS '!AD75))</f>
        <v>307.42</v>
      </c>
      <c r="K125" s="934">
        <f>IF(MINIMOS!G2="Sí",'GASTOS '!AJ75,IF(AND(MINIMOS!G2="No",'GASTOS '!AJ75&lt;500),500,'GASTOS '!AJ75))</f>
        <v>136.41</v>
      </c>
      <c r="L125" s="934">
        <f>IF(MINIMOS!H2="Sí",'GASTOS '!AP75,IF(AND(MINIMOS!H2="No",'GASTOS '!AP75&lt;500),500,'GASTOS '!AP75))</f>
        <v>313.95999999999998</v>
      </c>
      <c r="M125" s="934">
        <f>IF(MINIMOS!I2="Sí",'GASTOS '!AV75,IF(AND(MINIMOS!I2="No",'GASTOS '!AV75&lt;500),500,'GASTOS '!AV75))</f>
        <v>101.06</v>
      </c>
      <c r="N125" s="777">
        <f>IF(MINIMOS!J2="Sí",'GASTOS '!BB75,IF(AND(MINIMOS!J2="No",'GASTOS '!BB75&lt;500),500,'GASTOS '!BB75))</f>
        <v>500</v>
      </c>
      <c r="O125" s="777">
        <f>IF(MINIMOS!K2="Sí",'GASTOS '!BH75,IF(AND(MINIMOS!K2="No",'GASTOS '!BH75&lt;500),500,'GASTOS '!BH75))</f>
        <v>500</v>
      </c>
      <c r="P125" s="777">
        <f>IF(MINIMOS!L2="Sí",'GASTOS '!BN75,IF(AND(MINIMOS!L2="No",'GASTOS '!BN75&lt;500),500,'GASTOS '!BN75))</f>
        <v>500</v>
      </c>
      <c r="Q125" s="778">
        <f>IF(MINIMOS!M2="Sí",MINIMOS!BT75,IF(AND(MINIMOS!M2="No",MINIMOS!BT75&lt;500),500,MINIMOS!BT75))</f>
        <v>500</v>
      </c>
      <c r="R125" s="285">
        <f t="shared" ref="R125:R138" si="29">SUM(F125:Q125)</f>
        <v>3745.33</v>
      </c>
    </row>
    <row r="126" spans="1:18" ht="18" customHeight="1" x14ac:dyDescent="0.2">
      <c r="A126" s="282" t="s">
        <v>2</v>
      </c>
      <c r="B126" s="283" t="s">
        <v>152</v>
      </c>
      <c r="C126" s="131" t="s">
        <v>68</v>
      </c>
      <c r="D126" s="161"/>
      <c r="E126" s="133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286"/>
      <c r="R126" s="287">
        <f t="shared" si="29"/>
        <v>0</v>
      </c>
    </row>
    <row r="127" spans="1:18" ht="18" customHeight="1" x14ac:dyDescent="0.2">
      <c r="A127" s="288" t="s">
        <v>2</v>
      </c>
      <c r="B127" s="289" t="s">
        <v>153</v>
      </c>
      <c r="C127" s="137" t="s">
        <v>68</v>
      </c>
      <c r="D127" s="149"/>
      <c r="E127" s="139"/>
      <c r="F127" s="144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79"/>
      <c r="R127" s="290">
        <f t="shared" si="29"/>
        <v>0</v>
      </c>
    </row>
    <row r="128" spans="1:18" ht="18" customHeight="1" x14ac:dyDescent="0.2">
      <c r="A128" s="288" t="s">
        <v>2</v>
      </c>
      <c r="B128" s="289" t="s">
        <v>154</v>
      </c>
      <c r="C128" s="137" t="s">
        <v>68</v>
      </c>
      <c r="D128" s="149"/>
      <c r="E128" s="139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79"/>
      <c r="R128" s="290">
        <f t="shared" si="29"/>
        <v>0</v>
      </c>
    </row>
    <row r="129" spans="1:20" ht="18" customHeight="1" x14ac:dyDescent="0.2">
      <c r="A129" s="288" t="s">
        <v>2</v>
      </c>
      <c r="B129" s="289" t="s">
        <v>155</v>
      </c>
      <c r="C129" s="137" t="s">
        <v>68</v>
      </c>
      <c r="D129" s="149"/>
      <c r="E129" s="139"/>
      <c r="F129" s="144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79"/>
      <c r="R129" s="290">
        <f t="shared" si="29"/>
        <v>0</v>
      </c>
    </row>
    <row r="130" spans="1:20" ht="18" customHeight="1" x14ac:dyDescent="0.2">
      <c r="A130" s="291" t="s">
        <v>2</v>
      </c>
      <c r="B130" s="292" t="s">
        <v>156</v>
      </c>
      <c r="C130" s="137" t="s">
        <v>68</v>
      </c>
      <c r="D130" s="152"/>
      <c r="E130" s="153"/>
      <c r="F130" s="154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212"/>
      <c r="R130" s="290">
        <f t="shared" si="29"/>
        <v>0</v>
      </c>
    </row>
    <row r="131" spans="1:20" ht="18" customHeight="1" x14ac:dyDescent="0.2">
      <c r="A131" s="291" t="s">
        <v>2</v>
      </c>
      <c r="B131" s="292" t="s">
        <v>157</v>
      </c>
      <c r="C131" s="151" t="s">
        <v>68</v>
      </c>
      <c r="D131" s="152"/>
      <c r="E131" s="153"/>
      <c r="F131" s="154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212"/>
      <c r="R131" s="290">
        <f t="shared" si="29"/>
        <v>0</v>
      </c>
    </row>
    <row r="132" spans="1:20" ht="18" customHeight="1" thickBot="1" x14ac:dyDescent="0.25">
      <c r="A132" s="293" t="s">
        <v>2</v>
      </c>
      <c r="B132" s="294" t="s">
        <v>158</v>
      </c>
      <c r="C132" s="181" t="s">
        <v>68</v>
      </c>
      <c r="D132" s="182"/>
      <c r="E132" s="183"/>
      <c r="F132" s="295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6"/>
      <c r="R132" s="296">
        <f t="shared" si="29"/>
        <v>0</v>
      </c>
    </row>
    <row r="133" spans="1:20" ht="18" customHeight="1" x14ac:dyDescent="0.2">
      <c r="A133" s="297" t="s">
        <v>2</v>
      </c>
      <c r="B133" s="298"/>
      <c r="C133" s="299" t="s">
        <v>159</v>
      </c>
      <c r="D133" s="300"/>
      <c r="E133" s="189"/>
      <c r="F133" s="301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255"/>
      <c r="R133" s="302">
        <f t="shared" si="29"/>
        <v>0</v>
      </c>
    </row>
    <row r="134" spans="1:20" ht="18" customHeight="1" thickBot="1" x14ac:dyDescent="0.25">
      <c r="A134" s="293" t="s">
        <v>2</v>
      </c>
      <c r="B134" s="303"/>
      <c r="C134" s="304" t="s">
        <v>160</v>
      </c>
      <c r="D134" s="305"/>
      <c r="E134" s="232"/>
      <c r="F134" s="233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6"/>
      <c r="R134" s="306">
        <f t="shared" si="29"/>
        <v>0</v>
      </c>
    </row>
    <row r="135" spans="1:20" ht="18" customHeight="1" x14ac:dyDescent="0.2">
      <c r="A135" s="282" t="s">
        <v>2</v>
      </c>
      <c r="B135" s="235" t="s">
        <v>161</v>
      </c>
      <c r="C135" s="236" t="s">
        <v>126</v>
      </c>
      <c r="D135" s="237"/>
      <c r="E135" s="133"/>
      <c r="F135" s="238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307">
        <f t="shared" si="29"/>
        <v>0</v>
      </c>
    </row>
    <row r="136" spans="1:20" ht="18" customHeight="1" x14ac:dyDescent="0.2">
      <c r="A136" s="288" t="s">
        <v>2</v>
      </c>
      <c r="B136" s="239" t="s">
        <v>162</v>
      </c>
      <c r="C136" s="240" t="s">
        <v>126</v>
      </c>
      <c r="D136" s="241"/>
      <c r="E136" s="139"/>
      <c r="F136" s="30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309">
        <f t="shared" si="29"/>
        <v>0</v>
      </c>
    </row>
    <row r="137" spans="1:20" ht="18" customHeight="1" thickBot="1" x14ac:dyDescent="0.25">
      <c r="A137" s="293" t="s">
        <v>2</v>
      </c>
      <c r="B137" s="244" t="s">
        <v>163</v>
      </c>
      <c r="C137" s="245" t="s">
        <v>122</v>
      </c>
      <c r="D137" s="246"/>
      <c r="E137" s="232"/>
      <c r="F137" s="233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306">
        <f t="shared" si="29"/>
        <v>0</v>
      </c>
    </row>
    <row r="138" spans="1:20" ht="18" customHeight="1" thickBot="1" x14ac:dyDescent="0.25">
      <c r="A138" s="247"/>
      <c r="B138" s="248"/>
      <c r="C138" s="247"/>
      <c r="D138" s="247"/>
      <c r="E138" s="2" t="s">
        <v>345</v>
      </c>
      <c r="F138" s="310">
        <f>SUM(F126:F132)</f>
        <v>0</v>
      </c>
      <c r="G138" s="310">
        <f t="shared" ref="G138:Q138" si="30">SUM(G126:G132)</f>
        <v>0</v>
      </c>
      <c r="H138" s="310">
        <f t="shared" si="30"/>
        <v>0</v>
      </c>
      <c r="I138" s="310">
        <f t="shared" si="30"/>
        <v>0</v>
      </c>
      <c r="J138" s="310">
        <f t="shared" si="30"/>
        <v>0</v>
      </c>
      <c r="K138" s="310">
        <f t="shared" si="30"/>
        <v>0</v>
      </c>
      <c r="L138" s="310">
        <f t="shared" si="30"/>
        <v>0</v>
      </c>
      <c r="M138" s="310">
        <f t="shared" si="30"/>
        <v>0</v>
      </c>
      <c r="N138" s="310">
        <f t="shared" si="30"/>
        <v>0</v>
      </c>
      <c r="O138" s="310">
        <f t="shared" si="30"/>
        <v>0</v>
      </c>
      <c r="P138" s="310">
        <f t="shared" si="30"/>
        <v>0</v>
      </c>
      <c r="Q138" s="310">
        <f t="shared" si="30"/>
        <v>0</v>
      </c>
      <c r="R138" s="840">
        <f t="shared" si="29"/>
        <v>0</v>
      </c>
    </row>
    <row r="139" spans="1:20" ht="18" customHeight="1" thickBot="1" x14ac:dyDescent="0.25">
      <c r="A139" s="247"/>
      <c r="B139" s="248"/>
      <c r="C139" s="247"/>
      <c r="D139" s="247"/>
      <c r="E139" s="2" t="s">
        <v>346</v>
      </c>
      <c r="F139" s="310">
        <f>F138+F125</f>
        <v>544.44000000000005</v>
      </c>
      <c r="G139" s="310">
        <f t="shared" ref="G139:Q139" si="31">G138+G125</f>
        <v>200.99</v>
      </c>
      <c r="H139" s="310">
        <f t="shared" si="31"/>
        <v>140</v>
      </c>
      <c r="I139" s="310">
        <f t="shared" si="31"/>
        <v>1.05</v>
      </c>
      <c r="J139" s="310">
        <f t="shared" si="31"/>
        <v>307.42</v>
      </c>
      <c r="K139" s="310">
        <f t="shared" si="31"/>
        <v>136.41</v>
      </c>
      <c r="L139" s="310">
        <f t="shared" si="31"/>
        <v>313.95999999999998</v>
      </c>
      <c r="M139" s="310">
        <f t="shared" si="31"/>
        <v>101.06</v>
      </c>
      <c r="N139" s="310">
        <f t="shared" si="31"/>
        <v>500</v>
      </c>
      <c r="O139" s="310">
        <f t="shared" si="31"/>
        <v>500</v>
      </c>
      <c r="P139" s="310">
        <f t="shared" si="31"/>
        <v>500</v>
      </c>
      <c r="Q139" s="310">
        <f t="shared" si="31"/>
        <v>500</v>
      </c>
      <c r="R139" s="840">
        <f t="shared" ref="R139" si="32">SUM(F139:Q139)</f>
        <v>3745.33</v>
      </c>
      <c r="S139" s="1021">
        <f>R100+R123+R139</f>
        <v>72276.970000000016</v>
      </c>
      <c r="T139" s="3" t="s">
        <v>342</v>
      </c>
    </row>
    <row r="140" spans="1:20" ht="18" customHeight="1" x14ac:dyDescent="0.2">
      <c r="A140" s="247"/>
      <c r="B140" s="248"/>
      <c r="C140" s="247"/>
      <c r="D140" s="247"/>
      <c r="F140" s="247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63"/>
      <c r="S140" s="841">
        <f>S139-S45</f>
        <v>-154.76999999997497</v>
      </c>
    </row>
    <row r="141" spans="1:20" ht="18" customHeight="1" thickBot="1" x14ac:dyDescent="0.25">
      <c r="A141" s="247"/>
      <c r="B141" s="248"/>
      <c r="C141" s="247"/>
      <c r="D141" s="247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63"/>
    </row>
    <row r="142" spans="1:20" ht="18" customHeight="1" x14ac:dyDescent="0.2">
      <c r="A142" s="313"/>
      <c r="B142" s="314" t="s">
        <v>164</v>
      </c>
      <c r="C142" s="315"/>
      <c r="D142" s="316"/>
      <c r="E142" s="843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8"/>
      <c r="R142" s="756"/>
    </row>
    <row r="143" spans="1:20" ht="18" customHeight="1" x14ac:dyDescent="0.2">
      <c r="A143" s="319" t="s">
        <v>0</v>
      </c>
      <c r="B143" s="320" t="s">
        <v>131</v>
      </c>
      <c r="C143" s="321"/>
      <c r="D143" s="322"/>
      <c r="E143" s="844"/>
      <c r="F143" s="323">
        <f t="shared" ref="F143:Q143" si="33">F48</f>
        <v>504.37</v>
      </c>
      <c r="G143" s="323">
        <f t="shared" si="33"/>
        <v>22.24</v>
      </c>
      <c r="H143" s="323">
        <f t="shared" si="33"/>
        <v>1644.14</v>
      </c>
      <c r="I143" s="323">
        <f t="shared" si="33"/>
        <v>2794.59</v>
      </c>
      <c r="J143" s="323">
        <f t="shared" si="33"/>
        <v>119.25</v>
      </c>
      <c r="K143" s="323">
        <f t="shared" si="33"/>
        <v>1338.3</v>
      </c>
      <c r="L143" s="323">
        <f t="shared" si="33"/>
        <v>1188.0899999999999</v>
      </c>
      <c r="M143" s="323">
        <f t="shared" si="33"/>
        <v>193.62</v>
      </c>
      <c r="N143" s="323">
        <f t="shared" si="33"/>
        <v>0</v>
      </c>
      <c r="O143" s="323">
        <f t="shared" si="33"/>
        <v>0</v>
      </c>
      <c r="P143" s="323">
        <f t="shared" si="33"/>
        <v>0</v>
      </c>
      <c r="Q143" s="324">
        <f t="shared" si="33"/>
        <v>0</v>
      </c>
      <c r="R143" s="757">
        <f>SUM(F143:Q143)</f>
        <v>7804.6</v>
      </c>
    </row>
    <row r="144" spans="1:20" ht="18" customHeight="1" x14ac:dyDescent="0.2">
      <c r="A144" s="319" t="s">
        <v>1</v>
      </c>
      <c r="B144" s="320" t="s">
        <v>131</v>
      </c>
      <c r="C144" s="321"/>
      <c r="D144" s="322"/>
      <c r="E144" s="844"/>
      <c r="F144" s="323">
        <f>F102</f>
        <v>628.72</v>
      </c>
      <c r="G144" s="323">
        <f t="shared" ref="G144:Q144" si="34">G102</f>
        <v>1350.38</v>
      </c>
      <c r="H144" s="323">
        <f t="shared" si="34"/>
        <v>2188.1799999999998</v>
      </c>
      <c r="I144" s="323">
        <f t="shared" si="34"/>
        <v>1872.3</v>
      </c>
      <c r="J144" s="323">
        <f t="shared" si="34"/>
        <v>2173.4300000000003</v>
      </c>
      <c r="K144" s="323">
        <f t="shared" si="34"/>
        <v>1503.24</v>
      </c>
      <c r="L144" s="323">
        <f t="shared" si="34"/>
        <v>1948.7300000000002</v>
      </c>
      <c r="M144" s="323">
        <f t="shared" si="34"/>
        <v>1406.57</v>
      </c>
      <c r="N144" s="323">
        <f t="shared" si="34"/>
        <v>1400</v>
      </c>
      <c r="O144" s="323">
        <f t="shared" si="34"/>
        <v>1400</v>
      </c>
      <c r="P144" s="323">
        <f t="shared" si="34"/>
        <v>1400</v>
      </c>
      <c r="Q144" s="324">
        <f t="shared" si="34"/>
        <v>1400</v>
      </c>
      <c r="R144" s="757">
        <f>SUM(F144:Q144)</f>
        <v>18671.55</v>
      </c>
    </row>
    <row r="145" spans="1:19" ht="18" customHeight="1" thickBot="1" x14ac:dyDescent="0.25">
      <c r="A145" s="319" t="s">
        <v>2</v>
      </c>
      <c r="B145" s="320" t="s">
        <v>131</v>
      </c>
      <c r="C145" s="321"/>
      <c r="D145" s="322"/>
      <c r="E145" s="845"/>
      <c r="F145" s="759">
        <f>F125</f>
        <v>544.44000000000005</v>
      </c>
      <c r="G145" s="759">
        <f t="shared" ref="G145:Q145" si="35">G125</f>
        <v>200.99</v>
      </c>
      <c r="H145" s="759">
        <f t="shared" si="35"/>
        <v>140</v>
      </c>
      <c r="I145" s="759">
        <f t="shared" si="35"/>
        <v>1.05</v>
      </c>
      <c r="J145" s="759">
        <f t="shared" si="35"/>
        <v>307.42</v>
      </c>
      <c r="K145" s="759">
        <f t="shared" si="35"/>
        <v>136.41</v>
      </c>
      <c r="L145" s="759">
        <f t="shared" si="35"/>
        <v>313.95999999999998</v>
      </c>
      <c r="M145" s="759">
        <f t="shared" si="35"/>
        <v>101.06</v>
      </c>
      <c r="N145" s="759">
        <f t="shared" si="35"/>
        <v>500</v>
      </c>
      <c r="O145" s="759">
        <f t="shared" si="35"/>
        <v>500</v>
      </c>
      <c r="P145" s="759">
        <f t="shared" si="35"/>
        <v>500</v>
      </c>
      <c r="Q145" s="760">
        <f t="shared" si="35"/>
        <v>500</v>
      </c>
      <c r="R145" s="757">
        <f>SUM(F145:Q145)</f>
        <v>3745.33</v>
      </c>
    </row>
    <row r="146" spans="1:19" ht="18" customHeight="1" thickBot="1" x14ac:dyDescent="0.25">
      <c r="C146" s="311">
        <v>1350</v>
      </c>
      <c r="E146" s="842" t="s">
        <v>7</v>
      </c>
      <c r="F146" s="758">
        <f t="shared" ref="F146:Q146" si="36">SUM(F143:F145)</f>
        <v>1677.5300000000002</v>
      </c>
      <c r="G146" s="758">
        <f t="shared" si="36"/>
        <v>1573.6100000000001</v>
      </c>
      <c r="H146" s="758">
        <f t="shared" si="36"/>
        <v>3972.3199999999997</v>
      </c>
      <c r="I146" s="758">
        <f t="shared" si="36"/>
        <v>4667.9400000000005</v>
      </c>
      <c r="J146" s="758">
        <f t="shared" si="36"/>
        <v>2600.1000000000004</v>
      </c>
      <c r="K146" s="758">
        <f t="shared" si="36"/>
        <v>2977.95</v>
      </c>
      <c r="L146" s="758">
        <f t="shared" si="36"/>
        <v>3450.78</v>
      </c>
      <c r="M146" s="758">
        <f t="shared" si="36"/>
        <v>1701.25</v>
      </c>
      <c r="N146" s="758">
        <f t="shared" si="36"/>
        <v>1900</v>
      </c>
      <c r="O146" s="758">
        <f t="shared" si="36"/>
        <v>1900</v>
      </c>
      <c r="P146" s="758">
        <f t="shared" si="36"/>
        <v>1900</v>
      </c>
      <c r="Q146" s="758">
        <f t="shared" si="36"/>
        <v>1900</v>
      </c>
      <c r="R146" s="251">
        <f>SUM(F146:Q146)</f>
        <v>30221.48</v>
      </c>
    </row>
    <row r="147" spans="1:19" ht="18" customHeight="1" thickBot="1" x14ac:dyDescent="0.25">
      <c r="C147" s="311"/>
      <c r="E147" s="326" t="s">
        <v>130</v>
      </c>
      <c r="F147" s="325">
        <f>F146</f>
        <v>1677.5300000000002</v>
      </c>
      <c r="G147" s="325">
        <f>(F146+G146)/2</f>
        <v>1625.5700000000002</v>
      </c>
      <c r="H147" s="325">
        <f>(F146++G146+H146)/3</f>
        <v>2407.8200000000002</v>
      </c>
      <c r="I147" s="325">
        <f>(F146+G146+H146+I146)/4</f>
        <v>2972.8500000000004</v>
      </c>
      <c r="J147" s="325">
        <f>(F146+G146+H146+I146+J146)/5</f>
        <v>2898.3</v>
      </c>
      <c r="K147" s="325">
        <f>(F146+G146+H146+I146+J146+K146)/6</f>
        <v>2911.5750000000003</v>
      </c>
      <c r="L147" s="325">
        <f>(F146+G146+H146+I146+J146+K146+L146)/7</f>
        <v>2988.6042857142857</v>
      </c>
      <c r="M147" s="325">
        <f>(F146+G146+H146+I146+J146+K146+L146+M146)/8</f>
        <v>2827.6849999999999</v>
      </c>
      <c r="N147" s="325">
        <f>(F146+G146+H146+I146+J146+K146+L146+M146+N146)/9</f>
        <v>2724.6088888888889</v>
      </c>
      <c r="O147" s="325">
        <f>(F146+G146+H146+I146+J146+K146+L146+M146+N146+O146)/10</f>
        <v>2642.1480000000001</v>
      </c>
      <c r="P147" s="325">
        <f>(F146+G146+H146+I146+J146+K146+L146+M146+N146+O146+P146)/11</f>
        <v>2574.6799999999998</v>
      </c>
      <c r="Q147" s="325">
        <f>(F146+G146+H146+I146+J146+K146+L146+M146+N146+O146+P146+Q146)/12</f>
        <v>2518.4566666666665</v>
      </c>
      <c r="R147" s="251">
        <f>R146/12</f>
        <v>2518.4566666666665</v>
      </c>
    </row>
    <row r="148" spans="1:19" ht="18" customHeight="1" x14ac:dyDescent="0.2">
      <c r="C148" s="114"/>
      <c r="E148" s="312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</row>
    <row r="149" spans="1:19" ht="18" customHeight="1" x14ac:dyDescent="0.2">
      <c r="C149" s="114"/>
      <c r="E149" s="312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</row>
    <row r="150" spans="1:19" ht="18" customHeight="1" x14ac:dyDescent="0.2">
      <c r="A150" s="327"/>
      <c r="B150" s="328" t="s">
        <v>165</v>
      </c>
      <c r="C150" s="327"/>
      <c r="D150" s="327"/>
      <c r="E150" s="329"/>
      <c r="F150" s="330">
        <f>SUM(F25:F33)</f>
        <v>2277.0300000000002</v>
      </c>
      <c r="G150" s="330">
        <f t="shared" ref="G150:Q150" si="37">SUM(G25:G33)</f>
        <v>2295.2800000000002</v>
      </c>
      <c r="H150" s="330">
        <f t="shared" si="37"/>
        <v>2545.5700000000002</v>
      </c>
      <c r="I150" s="330">
        <f t="shared" si="37"/>
        <v>6023.71</v>
      </c>
      <c r="J150" s="330">
        <f t="shared" si="37"/>
        <v>2608.91</v>
      </c>
      <c r="K150" s="330">
        <f t="shared" si="37"/>
        <v>2348.2399999999998</v>
      </c>
      <c r="L150" s="330">
        <f t="shared" si="37"/>
        <v>6715.28</v>
      </c>
      <c r="M150" s="330">
        <f t="shared" si="37"/>
        <v>0</v>
      </c>
      <c r="N150" s="330">
        <f t="shared" si="37"/>
        <v>2029.23</v>
      </c>
      <c r="O150" s="330">
        <f t="shared" si="37"/>
        <v>2315.58</v>
      </c>
      <c r="P150" s="330">
        <f t="shared" si="37"/>
        <v>2351.58</v>
      </c>
      <c r="Q150" s="330">
        <f t="shared" si="37"/>
        <v>3988.83</v>
      </c>
      <c r="R150" s="331">
        <f>SUM(F150:Q150)</f>
        <v>35499.24</v>
      </c>
    </row>
    <row r="151" spans="1:19" ht="18" customHeight="1" x14ac:dyDescent="0.2">
      <c r="A151" s="332"/>
      <c r="B151" s="333" t="s">
        <v>166</v>
      </c>
      <c r="C151" s="332"/>
      <c r="D151" s="332"/>
      <c r="E151" s="334"/>
      <c r="F151" s="335">
        <f>SUM(F48:F98)</f>
        <v>3200.7699999999995</v>
      </c>
      <c r="G151" s="335">
        <f t="shared" ref="G151:Q151" si="38">SUM(G48:G98)</f>
        <v>1360.39</v>
      </c>
      <c r="H151" s="335">
        <f t="shared" si="38"/>
        <v>4210.13</v>
      </c>
      <c r="I151" s="335">
        <f t="shared" si="38"/>
        <v>5091.5599999999995</v>
      </c>
      <c r="J151" s="335">
        <f t="shared" si="38"/>
        <v>2472.62</v>
      </c>
      <c r="K151" s="335">
        <f t="shared" si="38"/>
        <v>4136.1099999999997</v>
      </c>
      <c r="L151" s="335">
        <f t="shared" si="38"/>
        <v>3377.4299999999994</v>
      </c>
      <c r="M151" s="335">
        <f t="shared" si="38"/>
        <v>2534.13</v>
      </c>
      <c r="N151" s="335">
        <f t="shared" si="38"/>
        <v>2830.88</v>
      </c>
      <c r="O151" s="335">
        <f t="shared" si="38"/>
        <v>2408.8200000000002</v>
      </c>
      <c r="P151" s="335">
        <f t="shared" si="38"/>
        <v>2260.08</v>
      </c>
      <c r="Q151" s="335">
        <f t="shared" si="38"/>
        <v>4080.6699999999996</v>
      </c>
      <c r="R151" s="336">
        <f>SUM(F151:Q151)</f>
        <v>37963.590000000004</v>
      </c>
      <c r="S151" s="337">
        <f>R150-R151</f>
        <v>-2464.3500000000058</v>
      </c>
    </row>
    <row r="152" spans="1:19" ht="18" customHeight="1" x14ac:dyDescent="0.2">
      <c r="A152" s="3"/>
      <c r="B152" s="3"/>
      <c r="C152" s="3"/>
      <c r="D152" s="3"/>
      <c r="E152" s="338"/>
      <c r="R152" s="85"/>
      <c r="S152" s="339"/>
    </row>
    <row r="153" spans="1:19" ht="18" customHeight="1" x14ac:dyDescent="0.2">
      <c r="A153" s="327"/>
      <c r="B153" s="328" t="s">
        <v>167</v>
      </c>
      <c r="C153" s="327"/>
      <c r="D153" s="327"/>
      <c r="E153" s="329"/>
      <c r="F153" s="330">
        <f t="shared" ref="F153:Q153" si="39">SUM(F36:F39)</f>
        <v>2357.5</v>
      </c>
      <c r="G153" s="330">
        <f t="shared" si="39"/>
        <v>2357.5</v>
      </c>
      <c r="H153" s="330">
        <f t="shared" si="39"/>
        <v>2857.5</v>
      </c>
      <c r="I153" s="330">
        <f t="shared" si="39"/>
        <v>500</v>
      </c>
      <c r="J153" s="330">
        <f t="shared" si="39"/>
        <v>5215</v>
      </c>
      <c r="K153" s="330">
        <f t="shared" si="39"/>
        <v>2857.5</v>
      </c>
      <c r="L153" s="330">
        <f t="shared" si="39"/>
        <v>2857.5</v>
      </c>
      <c r="M153" s="330">
        <f t="shared" si="39"/>
        <v>500</v>
      </c>
      <c r="N153" s="330">
        <f t="shared" si="39"/>
        <v>2857.5</v>
      </c>
      <c r="O153" s="330">
        <f t="shared" si="39"/>
        <v>2857.5</v>
      </c>
      <c r="P153" s="330">
        <f t="shared" si="39"/>
        <v>2857.5</v>
      </c>
      <c r="Q153" s="340">
        <f t="shared" si="39"/>
        <v>2857.5</v>
      </c>
      <c r="R153" s="331">
        <f>SUM(F153:Q153)</f>
        <v>30932.5</v>
      </c>
      <c r="S153" s="341"/>
    </row>
    <row r="154" spans="1:19" ht="18" customHeight="1" x14ac:dyDescent="0.2">
      <c r="A154" s="332"/>
      <c r="B154" s="333" t="s">
        <v>168</v>
      </c>
      <c r="C154" s="342"/>
      <c r="D154" s="342"/>
      <c r="E154" s="343"/>
      <c r="F154" s="335">
        <f>SUM(F102:F121)</f>
        <v>1677.7599999999998</v>
      </c>
      <c r="G154" s="335">
        <f t="shared" ref="G154:Q154" si="40">SUM(G102:G121)</f>
        <v>2623.56</v>
      </c>
      <c r="H154" s="335">
        <f t="shared" si="40"/>
        <v>3040.93</v>
      </c>
      <c r="I154" s="335">
        <f t="shared" si="40"/>
        <v>2942.25</v>
      </c>
      <c r="J154" s="335">
        <f t="shared" si="40"/>
        <v>3261.89</v>
      </c>
      <c r="K154" s="335">
        <f t="shared" si="40"/>
        <v>2447.7600000000002</v>
      </c>
      <c r="L154" s="335">
        <f>SUM(L102:L121)</f>
        <v>2835.3</v>
      </c>
      <c r="M154" s="335">
        <f>SUM(M102:M121)</f>
        <v>2360.7299999999996</v>
      </c>
      <c r="N154" s="335">
        <f t="shared" si="40"/>
        <v>2179.6999999999998</v>
      </c>
      <c r="O154" s="335">
        <f t="shared" si="40"/>
        <v>2460.0899999999997</v>
      </c>
      <c r="P154" s="335">
        <f t="shared" si="40"/>
        <v>2208.38</v>
      </c>
      <c r="Q154" s="335">
        <f t="shared" si="40"/>
        <v>2529.6999999999998</v>
      </c>
      <c r="R154" s="336">
        <f>SUM(F154:Q154)</f>
        <v>30568.050000000003</v>
      </c>
      <c r="S154" s="337">
        <f>R153-R154</f>
        <v>364.44999999999709</v>
      </c>
    </row>
    <row r="155" spans="1:19" ht="18" customHeight="1" x14ac:dyDescent="0.2">
      <c r="G155" s="4"/>
      <c r="H155" s="344"/>
      <c r="I155" s="344"/>
      <c r="J155" s="4"/>
      <c r="K155" s="4"/>
      <c r="L155" s="4"/>
      <c r="M155" s="4"/>
      <c r="N155" s="4"/>
      <c r="O155" s="4"/>
      <c r="P155" s="4"/>
      <c r="R155" s="85"/>
      <c r="S155" s="345"/>
    </row>
    <row r="156" spans="1:19" ht="18" customHeight="1" x14ac:dyDescent="0.2">
      <c r="A156" s="327"/>
      <c r="B156" s="328" t="s">
        <v>169</v>
      </c>
      <c r="C156" s="327"/>
      <c r="D156" s="327"/>
      <c r="E156" s="329"/>
      <c r="F156" s="330">
        <f t="shared" ref="F156:Q156" si="41">SUM(F41:F44)</f>
        <v>1000</v>
      </c>
      <c r="G156" s="330">
        <f t="shared" si="41"/>
        <v>0</v>
      </c>
      <c r="H156" s="330">
        <f t="shared" si="41"/>
        <v>500</v>
      </c>
      <c r="I156" s="330">
        <f t="shared" si="41"/>
        <v>500</v>
      </c>
      <c r="J156" s="330">
        <f t="shared" si="41"/>
        <v>500</v>
      </c>
      <c r="K156" s="330">
        <f t="shared" si="41"/>
        <v>500</v>
      </c>
      <c r="L156" s="330">
        <f t="shared" si="41"/>
        <v>500</v>
      </c>
      <c r="M156" s="330">
        <f t="shared" si="41"/>
        <v>500</v>
      </c>
      <c r="N156" s="330">
        <f t="shared" si="41"/>
        <v>500</v>
      </c>
      <c r="O156" s="330">
        <f t="shared" si="41"/>
        <v>500</v>
      </c>
      <c r="P156" s="330">
        <f t="shared" si="41"/>
        <v>500</v>
      </c>
      <c r="Q156" s="330">
        <f t="shared" si="41"/>
        <v>500</v>
      </c>
      <c r="R156" s="331">
        <f>SUM(F156:Q156)</f>
        <v>6000</v>
      </c>
      <c r="S156" s="341"/>
    </row>
    <row r="157" spans="1:19" ht="18" customHeight="1" x14ac:dyDescent="0.2">
      <c r="A157" s="332"/>
      <c r="B157" s="333" t="s">
        <v>170</v>
      </c>
      <c r="C157" s="332"/>
      <c r="D157" s="332"/>
      <c r="E157" s="334"/>
      <c r="F157" s="335">
        <f>SUM(F125:F137)</f>
        <v>544.44000000000005</v>
      </c>
      <c r="G157" s="335">
        <f t="shared" ref="G157:Q157" si="42">SUM(G125:G137)</f>
        <v>200.99</v>
      </c>
      <c r="H157" s="335">
        <f t="shared" si="42"/>
        <v>140</v>
      </c>
      <c r="I157" s="335">
        <f t="shared" si="42"/>
        <v>1.05</v>
      </c>
      <c r="J157" s="335">
        <f t="shared" si="42"/>
        <v>307.42</v>
      </c>
      <c r="K157" s="335">
        <f t="shared" si="42"/>
        <v>136.41</v>
      </c>
      <c r="L157" s="335">
        <f t="shared" si="42"/>
        <v>313.95999999999998</v>
      </c>
      <c r="M157" s="335">
        <f t="shared" si="42"/>
        <v>101.06</v>
      </c>
      <c r="N157" s="335">
        <f t="shared" si="42"/>
        <v>500</v>
      </c>
      <c r="O157" s="335">
        <f t="shared" si="42"/>
        <v>500</v>
      </c>
      <c r="P157" s="335">
        <f t="shared" si="42"/>
        <v>500</v>
      </c>
      <c r="Q157" s="335">
        <f t="shared" si="42"/>
        <v>500</v>
      </c>
      <c r="R157" s="336">
        <f>SUM(F157:Q157)</f>
        <v>3745.33</v>
      </c>
      <c r="S157" s="337">
        <f>R156-R157</f>
        <v>2254.67</v>
      </c>
    </row>
    <row r="158" spans="1:19" x14ac:dyDescent="0.2">
      <c r="G158" s="344"/>
      <c r="H158" s="344"/>
      <c r="I158" s="344"/>
      <c r="J158" s="344"/>
      <c r="K158" s="344"/>
      <c r="L158" s="344"/>
      <c r="M158" s="344"/>
      <c r="N158" s="344"/>
      <c r="O158" s="344"/>
      <c r="P158" s="344"/>
      <c r="S158" s="345"/>
    </row>
    <row r="159" spans="1:19" ht="17.25" thickBot="1" x14ac:dyDescent="0.25">
      <c r="A159" s="346"/>
      <c r="B159" s="347" t="s">
        <v>171</v>
      </c>
      <c r="C159" s="346"/>
      <c r="D159" s="346"/>
      <c r="E159" s="348"/>
      <c r="F159" s="349">
        <f t="shared" ref="F159:Q159" si="43">F150+F153+F156</f>
        <v>5634.5300000000007</v>
      </c>
      <c r="G159" s="349">
        <f t="shared" si="43"/>
        <v>4652.7800000000007</v>
      </c>
      <c r="H159" s="349">
        <f t="shared" si="43"/>
        <v>5903.07</v>
      </c>
      <c r="I159" s="349">
        <f t="shared" si="43"/>
        <v>7023.71</v>
      </c>
      <c r="J159" s="349">
        <f t="shared" si="43"/>
        <v>8323.91</v>
      </c>
      <c r="K159" s="349">
        <f t="shared" si="43"/>
        <v>5705.74</v>
      </c>
      <c r="L159" s="349">
        <f t="shared" si="43"/>
        <v>10072.779999999999</v>
      </c>
      <c r="M159" s="349">
        <f t="shared" si="43"/>
        <v>1000</v>
      </c>
      <c r="N159" s="349">
        <f t="shared" si="43"/>
        <v>5386.73</v>
      </c>
      <c r="O159" s="349">
        <f t="shared" si="43"/>
        <v>5673.08</v>
      </c>
      <c r="P159" s="349">
        <f t="shared" si="43"/>
        <v>5709.08</v>
      </c>
      <c r="Q159" s="349">
        <f t="shared" si="43"/>
        <v>7346.33</v>
      </c>
      <c r="R159" s="331">
        <f>SUM(F159:Q159)</f>
        <v>72431.740000000005</v>
      </c>
      <c r="S159" s="345"/>
    </row>
    <row r="160" spans="1:19" ht="18" customHeight="1" thickBot="1" x14ac:dyDescent="0.25">
      <c r="A160" s="350"/>
      <c r="B160" s="351" t="s">
        <v>172</v>
      </c>
      <c r="C160" s="350"/>
      <c r="D160" s="350"/>
      <c r="E160" s="352"/>
      <c r="F160" s="353">
        <f t="shared" ref="F160:Q160" si="44">F151+F154+F157</f>
        <v>5422.9699999999993</v>
      </c>
      <c r="G160" s="353">
        <f t="shared" si="44"/>
        <v>4184.9399999999996</v>
      </c>
      <c r="H160" s="353">
        <f t="shared" si="44"/>
        <v>7391.0599999999995</v>
      </c>
      <c r="I160" s="353">
        <f t="shared" si="44"/>
        <v>8034.86</v>
      </c>
      <c r="J160" s="353">
        <f t="shared" si="44"/>
        <v>6041.93</v>
      </c>
      <c r="K160" s="353">
        <f t="shared" si="44"/>
        <v>6720.28</v>
      </c>
      <c r="L160" s="353">
        <f t="shared" si="44"/>
        <v>6526.69</v>
      </c>
      <c r="M160" s="353">
        <f t="shared" si="44"/>
        <v>4995.92</v>
      </c>
      <c r="N160" s="353">
        <f t="shared" si="44"/>
        <v>5510.58</v>
      </c>
      <c r="O160" s="353">
        <f t="shared" si="44"/>
        <v>5368.91</v>
      </c>
      <c r="P160" s="353">
        <f t="shared" si="44"/>
        <v>4968.46</v>
      </c>
      <c r="Q160" s="353">
        <f t="shared" si="44"/>
        <v>7110.369999999999</v>
      </c>
      <c r="R160" s="354">
        <f>SUM(F160:Q160)</f>
        <v>72276.97</v>
      </c>
      <c r="S160" s="355">
        <f>R159-R160</f>
        <v>154.77000000000407</v>
      </c>
    </row>
    <row r="161" spans="5:19" ht="18" customHeight="1" x14ac:dyDescent="0.2">
      <c r="F161" s="19">
        <f t="shared" ref="F161:Q161" si="45">F159-F160</f>
        <v>211.56000000000131</v>
      </c>
      <c r="G161" s="19">
        <f t="shared" si="45"/>
        <v>467.84000000000106</v>
      </c>
      <c r="H161" s="19">
        <f t="shared" si="45"/>
        <v>-1487.9899999999998</v>
      </c>
      <c r="I161" s="19">
        <f t="shared" si="45"/>
        <v>-1011.1499999999996</v>
      </c>
      <c r="J161" s="19">
        <f t="shared" si="45"/>
        <v>2281.9799999999996</v>
      </c>
      <c r="K161" s="19">
        <f t="shared" si="45"/>
        <v>-1014.54</v>
      </c>
      <c r="L161" s="19">
        <f t="shared" si="45"/>
        <v>3546.0899999999992</v>
      </c>
      <c r="M161" s="19">
        <f t="shared" si="45"/>
        <v>-3995.92</v>
      </c>
      <c r="N161" s="19">
        <f t="shared" si="45"/>
        <v>-123.85000000000036</v>
      </c>
      <c r="O161" s="19">
        <f t="shared" si="45"/>
        <v>304.17000000000007</v>
      </c>
      <c r="P161" s="19">
        <f t="shared" si="45"/>
        <v>740.61999999999989</v>
      </c>
      <c r="Q161" s="19">
        <f t="shared" si="45"/>
        <v>235.96000000000095</v>
      </c>
    </row>
    <row r="162" spans="5:19" ht="18" customHeight="1" x14ac:dyDescent="0.2">
      <c r="E162" s="2" t="s">
        <v>173</v>
      </c>
      <c r="F162" s="356">
        <v>547.47</v>
      </c>
      <c r="G162" s="356">
        <v>117.88999999999901</v>
      </c>
      <c r="H162" s="356">
        <v>166.29000000000099</v>
      </c>
      <c r="I162" s="356">
        <v>388.21</v>
      </c>
      <c r="J162" s="356">
        <v>269.17999999999898</v>
      </c>
      <c r="K162" s="356">
        <v>774.00999999999897</v>
      </c>
      <c r="L162" s="356">
        <v>2281.31</v>
      </c>
      <c r="M162" s="356">
        <v>-1944.81</v>
      </c>
      <c r="N162" s="356">
        <v>1080.56</v>
      </c>
      <c r="O162" s="356">
        <v>647.45000000000005</v>
      </c>
      <c r="P162" s="356">
        <v>478.77</v>
      </c>
      <c r="Q162" s="356">
        <v>-1805.57</v>
      </c>
      <c r="S162" s="55">
        <f>SUM(F162:R162)</f>
        <v>3000.7599999999984</v>
      </c>
    </row>
    <row r="163" spans="5:19" ht="18" customHeight="1" x14ac:dyDescent="0.2">
      <c r="M163" s="357" t="s">
        <v>174</v>
      </c>
    </row>
  </sheetData>
  <mergeCells count="12">
    <mergeCell ref="A21:A22"/>
    <mergeCell ref="B21:B22"/>
    <mergeCell ref="C21:C22"/>
    <mergeCell ref="D21:D22"/>
    <mergeCell ref="E21:E22"/>
    <mergeCell ref="F24:Q24"/>
    <mergeCell ref="F47:Q47"/>
    <mergeCell ref="T15:T17"/>
    <mergeCell ref="U15:U19"/>
    <mergeCell ref="T18:T19"/>
    <mergeCell ref="F21:Q22"/>
    <mergeCell ref="R21:R22"/>
  </mergeCells>
  <conditionalFormatting sqref="F151:Q151">
    <cfRule type="colorScale" priority="8">
      <colorScale>
        <cfvo type="min"/>
        <cfvo type="max"/>
        <color rgb="FFE6B9B8"/>
        <color rgb="FF953735"/>
      </colorScale>
    </cfRule>
    <cfRule type="colorScale" priority="9">
      <colorScale>
        <cfvo type="min"/>
        <cfvo type="max"/>
        <color rgb="FFF8696B"/>
        <color rgb="FFFCFCFF"/>
      </colorScale>
    </cfRule>
  </conditionalFormatting>
  <conditionalFormatting sqref="F154:Q154">
    <cfRule type="colorScale" priority="6">
      <colorScale>
        <cfvo type="min"/>
        <cfvo type="max"/>
        <color rgb="FFE6B9B8"/>
        <color rgb="FF953735"/>
      </colorScale>
    </cfRule>
    <cfRule type="colorScale" priority="7">
      <colorScale>
        <cfvo type="min"/>
        <cfvo type="max"/>
        <color rgb="FFF8696B"/>
        <color rgb="FFFCFCFF"/>
      </colorScale>
    </cfRule>
  </conditionalFormatting>
  <conditionalFormatting sqref="F157:Q157">
    <cfRule type="colorScale" priority="4">
      <colorScale>
        <cfvo type="min"/>
        <cfvo type="max"/>
        <color rgb="FFE6B9B8"/>
        <color rgb="FF953735"/>
      </colorScale>
    </cfRule>
    <cfRule type="colorScale" priority="5">
      <colorScale>
        <cfvo type="min"/>
        <cfvo type="max"/>
        <color rgb="FFF8696B"/>
        <color rgb="FFFCFCFF"/>
      </colorScale>
    </cfRule>
  </conditionalFormatting>
  <conditionalFormatting sqref="F160:Q160">
    <cfRule type="colorScale" priority="2">
      <colorScale>
        <cfvo type="min"/>
        <cfvo type="max"/>
        <color rgb="FFE6B9B8"/>
        <color rgb="FF953735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conditionalFormatting sqref="S151 S154 S157">
    <cfRule type="cellIs" dxfId="32" priority="10" operator="lessThan">
      <formula>0</formula>
    </cfRule>
    <cfRule type="cellIs" dxfId="31" priority="11" operator="greaterThan">
      <formula>0</formula>
    </cfRule>
  </conditionalFormatting>
  <pageMargins left="0.75" right="0.75" top="1" bottom="1" header="0.511811023622047" footer="0.511811023622047"/>
  <pageSetup paperSize="8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DCDB"/>
    <pageSetUpPr fitToPage="1"/>
  </sheetPr>
  <dimension ref="A1:BW131"/>
  <sheetViews>
    <sheetView zoomScaleNormal="100" workbookViewId="0">
      <pane xSplit="1" ySplit="2" topLeftCell="AJ3" activePane="bottomRight" state="frozen"/>
      <selection pane="topRight" activeCell="B1" sqref="B1"/>
      <selection pane="bottomLeft" activeCell="A3" sqref="A3"/>
      <selection pane="bottomRight" activeCell="AR7" sqref="AR7:AW7"/>
    </sheetView>
  </sheetViews>
  <sheetFormatPr baseColWidth="10" defaultColWidth="11.42578125" defaultRowHeight="11.25" x14ac:dyDescent="0.2"/>
  <cols>
    <col min="1" max="1" width="6.5703125" style="358" customWidth="1"/>
    <col min="2" max="2" width="5.85546875" style="358" customWidth="1"/>
    <col min="3" max="3" width="18.28515625" style="358" customWidth="1"/>
    <col min="4" max="5" width="30.5703125" style="358" customWidth="1"/>
    <col min="6" max="6" width="13" style="358" customWidth="1"/>
    <col min="7" max="7" width="5.42578125" style="359" customWidth="1"/>
    <col min="8" max="8" width="6.85546875" style="358" customWidth="1"/>
    <col min="9" max="9" width="24.5703125" style="358" customWidth="1"/>
    <col min="10" max="11" width="30.5703125" style="358" customWidth="1"/>
    <col min="12" max="12" width="13" style="358" bestFit="1" customWidth="1"/>
    <col min="13" max="13" width="5.85546875" style="360" customWidth="1"/>
    <col min="14" max="14" width="7" style="358" customWidth="1"/>
    <col min="15" max="15" width="17.42578125" style="358" customWidth="1"/>
    <col min="16" max="17" width="30.5703125" style="358" customWidth="1"/>
    <col min="18" max="18" width="13" style="358" bestFit="1" customWidth="1"/>
    <col min="19" max="19" width="5.42578125" style="359" customWidth="1"/>
    <col min="20" max="20" width="6.85546875" style="358" customWidth="1"/>
    <col min="21" max="21" width="18.28515625" style="358" customWidth="1"/>
    <col min="22" max="23" width="30.5703125" style="358" customWidth="1"/>
    <col min="24" max="24" width="13" style="358" bestFit="1" customWidth="1"/>
    <col min="25" max="25" width="5.85546875" style="360" customWidth="1"/>
    <col min="26" max="26" width="7.5703125" style="358" customWidth="1"/>
    <col min="27" max="27" width="18.28515625" style="358" customWidth="1"/>
    <col min="28" max="29" width="30.5703125" style="358" customWidth="1"/>
    <col min="30" max="30" width="13" style="358" bestFit="1" customWidth="1"/>
    <col min="31" max="31" width="5.42578125" style="359" customWidth="1"/>
    <col min="32" max="32" width="7" style="358" customWidth="1"/>
    <col min="33" max="33" width="15.5703125" style="358" customWidth="1"/>
    <col min="34" max="35" width="30.5703125" style="358" customWidth="1"/>
    <col min="36" max="36" width="13" style="358" bestFit="1" customWidth="1"/>
    <col min="37" max="37" width="5.85546875" style="360" customWidth="1"/>
    <col min="38" max="38" width="6.5703125" style="358" customWidth="1"/>
    <col min="39" max="39" width="15.5703125" style="358" customWidth="1"/>
    <col min="40" max="41" width="30.5703125" style="358" customWidth="1"/>
    <col min="42" max="42" width="13" style="358" bestFit="1" customWidth="1"/>
    <col min="43" max="43" width="5.42578125" style="359" customWidth="1"/>
    <col min="44" max="44" width="7.42578125" style="358" customWidth="1"/>
    <col min="45" max="45" width="15.5703125" style="358" customWidth="1"/>
    <col min="46" max="47" width="30.5703125" style="358" customWidth="1"/>
    <col min="48" max="48" width="13" style="358" bestFit="1" customWidth="1"/>
    <col min="49" max="49" width="5.85546875" style="360" customWidth="1"/>
    <col min="50" max="50" width="6.85546875" style="361" customWidth="1"/>
    <col min="51" max="51" width="16.5703125" style="358" customWidth="1"/>
    <col min="52" max="53" width="30.5703125" style="358" customWidth="1"/>
    <col min="54" max="54" width="13" style="358" bestFit="1" customWidth="1"/>
    <col min="55" max="55" width="5.42578125" style="359" customWidth="1"/>
    <col min="56" max="56" width="7.140625" style="358" customWidth="1"/>
    <col min="57" max="57" width="15.5703125" style="358" customWidth="1"/>
    <col min="58" max="59" width="30.5703125" style="358" customWidth="1"/>
    <col min="60" max="60" width="13" style="358" bestFit="1" customWidth="1"/>
    <col min="61" max="61" width="5.85546875" style="360" customWidth="1"/>
    <col min="62" max="62" width="7.42578125" style="358" customWidth="1"/>
    <col min="63" max="63" width="15.5703125" style="358" customWidth="1"/>
    <col min="64" max="65" width="30.5703125" style="358" customWidth="1"/>
    <col min="66" max="66" width="13" style="358" bestFit="1" customWidth="1"/>
    <col min="67" max="67" width="5.42578125" style="359" customWidth="1"/>
    <col min="68" max="68" width="6.140625" style="358" customWidth="1"/>
    <col min="69" max="69" width="15.5703125" style="358" customWidth="1"/>
    <col min="70" max="71" width="30.5703125" style="358" customWidth="1"/>
    <col min="72" max="72" width="13" style="358" bestFit="1" customWidth="1"/>
    <col min="73" max="73" width="5.85546875" style="360" customWidth="1"/>
    <col min="74" max="74" width="14.42578125" style="358" bestFit="1" customWidth="1"/>
    <col min="75" max="16384" width="11.42578125" style="358"/>
  </cols>
  <sheetData>
    <row r="1" spans="1:73" ht="12" customHeight="1" thickBot="1" x14ac:dyDescent="0.25">
      <c r="A1" s="1122" t="s">
        <v>0</v>
      </c>
      <c r="B1" s="1116" t="s">
        <v>39</v>
      </c>
      <c r="C1" s="1116"/>
      <c r="D1" s="1116"/>
      <c r="E1" s="1116"/>
      <c r="F1" s="1115"/>
      <c r="G1" s="838"/>
      <c r="H1" s="1114" t="s">
        <v>40</v>
      </c>
      <c r="I1" s="1114"/>
      <c r="J1" s="1114"/>
      <c r="K1" s="1114"/>
      <c r="L1" s="1114"/>
      <c r="M1" s="411"/>
      <c r="N1" s="1116" t="s">
        <v>41</v>
      </c>
      <c r="O1" s="1116"/>
      <c r="P1" s="1116"/>
      <c r="Q1" s="1116"/>
      <c r="R1" s="1116"/>
      <c r="S1" s="838"/>
      <c r="T1" s="1114" t="s">
        <v>42</v>
      </c>
      <c r="U1" s="1114"/>
      <c r="V1" s="1114"/>
      <c r="W1" s="1114"/>
      <c r="X1" s="1114"/>
      <c r="Y1" s="411"/>
      <c r="Z1" s="1116" t="s">
        <v>43</v>
      </c>
      <c r="AA1" s="1116"/>
      <c r="AB1" s="1116"/>
      <c r="AC1" s="1116"/>
      <c r="AD1" s="1116"/>
      <c r="AE1" s="838"/>
      <c r="AF1" s="1118" t="s">
        <v>44</v>
      </c>
      <c r="AG1" s="1118"/>
      <c r="AH1" s="1118"/>
      <c r="AI1" s="1118"/>
      <c r="AJ1" s="1118"/>
      <c r="AK1" s="411"/>
      <c r="AL1" s="1118" t="s">
        <v>45</v>
      </c>
      <c r="AM1" s="1118"/>
      <c r="AN1" s="1118"/>
      <c r="AO1" s="1118"/>
      <c r="AP1" s="1118"/>
      <c r="AQ1" s="838"/>
      <c r="AR1" s="1114" t="s">
        <v>46</v>
      </c>
      <c r="AS1" s="1114"/>
      <c r="AT1" s="1114"/>
      <c r="AU1" s="1114"/>
      <c r="AV1" s="1114"/>
      <c r="AW1" s="411"/>
      <c r="AX1" s="1118" t="s">
        <v>47</v>
      </c>
      <c r="AY1" s="1118"/>
      <c r="AZ1" s="1118"/>
      <c r="BA1" s="1118"/>
      <c r="BB1" s="1118"/>
      <c r="BC1" s="838"/>
      <c r="BD1" s="1114" t="s">
        <v>48</v>
      </c>
      <c r="BE1" s="1114"/>
      <c r="BF1" s="1114"/>
      <c r="BG1" s="1114"/>
      <c r="BH1" s="1114"/>
      <c r="BI1" s="411"/>
      <c r="BJ1" s="1115" t="s">
        <v>49</v>
      </c>
      <c r="BK1" s="1115"/>
      <c r="BL1" s="1115"/>
      <c r="BM1" s="1115"/>
      <c r="BN1" s="1115"/>
      <c r="BO1" s="838"/>
      <c r="BP1" s="1114" t="s">
        <v>50</v>
      </c>
      <c r="BQ1" s="1114"/>
      <c r="BR1" s="1114"/>
      <c r="BS1" s="1114"/>
      <c r="BT1" s="1114"/>
      <c r="BU1" s="411"/>
    </row>
    <row r="2" spans="1:73" ht="12" customHeight="1" thickBot="1" x14ac:dyDescent="0.25">
      <c r="A2" s="1122"/>
      <c r="B2" s="854" t="s">
        <v>175</v>
      </c>
      <c r="C2" s="855" t="s">
        <v>176</v>
      </c>
      <c r="D2" s="855" t="s">
        <v>35</v>
      </c>
      <c r="E2" s="855" t="s">
        <v>177</v>
      </c>
      <c r="F2" s="861" t="s">
        <v>178</v>
      </c>
      <c r="G2" s="864" t="s">
        <v>34</v>
      </c>
      <c r="H2" s="854" t="s">
        <v>175</v>
      </c>
      <c r="I2" s="858" t="s">
        <v>176</v>
      </c>
      <c r="J2" s="858" t="s">
        <v>35</v>
      </c>
      <c r="K2" s="859" t="s">
        <v>177</v>
      </c>
      <c r="L2" s="860" t="s">
        <v>178</v>
      </c>
      <c r="M2" s="857" t="s">
        <v>34</v>
      </c>
      <c r="N2" s="854" t="s">
        <v>175</v>
      </c>
      <c r="O2" s="855" t="s">
        <v>176</v>
      </c>
      <c r="P2" s="855" t="s">
        <v>35</v>
      </c>
      <c r="Q2" s="855" t="s">
        <v>177</v>
      </c>
      <c r="R2" s="856" t="s">
        <v>178</v>
      </c>
      <c r="S2" s="864" t="s">
        <v>34</v>
      </c>
      <c r="T2" s="854" t="s">
        <v>175</v>
      </c>
      <c r="U2" s="858" t="s">
        <v>176</v>
      </c>
      <c r="V2" s="858" t="s">
        <v>35</v>
      </c>
      <c r="W2" s="859" t="s">
        <v>177</v>
      </c>
      <c r="X2" s="860" t="s">
        <v>178</v>
      </c>
      <c r="Y2" s="857" t="s">
        <v>34</v>
      </c>
      <c r="Z2" s="854" t="s">
        <v>175</v>
      </c>
      <c r="AA2" s="855" t="s">
        <v>176</v>
      </c>
      <c r="AB2" s="855" t="s">
        <v>35</v>
      </c>
      <c r="AC2" s="855" t="s">
        <v>177</v>
      </c>
      <c r="AD2" s="856" t="s">
        <v>178</v>
      </c>
      <c r="AE2" s="864" t="s">
        <v>34</v>
      </c>
      <c r="AF2" s="858" t="s">
        <v>175</v>
      </c>
      <c r="AG2" s="858" t="s">
        <v>176</v>
      </c>
      <c r="AH2" s="858" t="s">
        <v>35</v>
      </c>
      <c r="AI2" s="859" t="s">
        <v>177</v>
      </c>
      <c r="AJ2" s="861" t="s">
        <v>178</v>
      </c>
      <c r="AK2" s="857" t="s">
        <v>34</v>
      </c>
      <c r="AL2" s="858" t="s">
        <v>175</v>
      </c>
      <c r="AM2" s="858" t="s">
        <v>176</v>
      </c>
      <c r="AN2" s="858" t="s">
        <v>35</v>
      </c>
      <c r="AO2" s="859" t="s">
        <v>177</v>
      </c>
      <c r="AP2" s="861" t="s">
        <v>178</v>
      </c>
      <c r="AQ2" s="864" t="s">
        <v>34</v>
      </c>
      <c r="AR2" s="854" t="s">
        <v>175</v>
      </c>
      <c r="AS2" s="858" t="s">
        <v>176</v>
      </c>
      <c r="AT2" s="858" t="s">
        <v>35</v>
      </c>
      <c r="AU2" s="859" t="s">
        <v>177</v>
      </c>
      <c r="AV2" s="860" t="s">
        <v>178</v>
      </c>
      <c r="AW2" s="857" t="s">
        <v>34</v>
      </c>
      <c r="AX2" s="862" t="s">
        <v>175</v>
      </c>
      <c r="AY2" s="858" t="s">
        <v>176</v>
      </c>
      <c r="AZ2" s="858" t="s">
        <v>35</v>
      </c>
      <c r="BA2" s="859" t="s">
        <v>177</v>
      </c>
      <c r="BB2" s="856" t="s">
        <v>178</v>
      </c>
      <c r="BC2" s="864" t="s">
        <v>34</v>
      </c>
      <c r="BD2" s="854" t="s">
        <v>175</v>
      </c>
      <c r="BE2" s="858" t="s">
        <v>176</v>
      </c>
      <c r="BF2" s="858" t="s">
        <v>35</v>
      </c>
      <c r="BG2" s="859" t="s">
        <v>177</v>
      </c>
      <c r="BH2" s="860" t="s">
        <v>178</v>
      </c>
      <c r="BI2" s="857" t="s">
        <v>34</v>
      </c>
      <c r="BJ2" s="854" t="s">
        <v>175</v>
      </c>
      <c r="BK2" s="858" t="s">
        <v>176</v>
      </c>
      <c r="BL2" s="858" t="s">
        <v>35</v>
      </c>
      <c r="BM2" s="859" t="s">
        <v>177</v>
      </c>
      <c r="BN2" s="856" t="s">
        <v>178</v>
      </c>
      <c r="BO2" s="864" t="s">
        <v>34</v>
      </c>
      <c r="BP2" s="854" t="s">
        <v>175</v>
      </c>
      <c r="BQ2" s="858" t="s">
        <v>176</v>
      </c>
      <c r="BR2" s="858" t="s">
        <v>35</v>
      </c>
      <c r="BS2" s="859" t="s">
        <v>177</v>
      </c>
      <c r="BT2" s="860" t="s">
        <v>178</v>
      </c>
      <c r="BU2" s="857" t="s">
        <v>34</v>
      </c>
    </row>
    <row r="3" spans="1:73" ht="12" customHeight="1" thickBot="1" x14ac:dyDescent="0.25">
      <c r="A3" s="1122"/>
      <c r="B3" s="846">
        <v>10</v>
      </c>
      <c r="C3" s="418" t="s">
        <v>359</v>
      </c>
      <c r="D3" s="418" t="s">
        <v>360</v>
      </c>
      <c r="E3" s="418"/>
      <c r="F3" s="421">
        <v>353.96</v>
      </c>
      <c r="G3" s="865" t="s">
        <v>336</v>
      </c>
      <c r="H3" s="959"/>
      <c r="I3" s="960"/>
      <c r="J3" s="960"/>
      <c r="K3" s="961"/>
      <c r="L3" s="962"/>
      <c r="M3" s="848"/>
      <c r="N3" s="846"/>
      <c r="O3" s="418"/>
      <c r="P3" s="418"/>
      <c r="Q3" s="418"/>
      <c r="R3" s="847"/>
      <c r="S3" s="865"/>
      <c r="T3" s="414">
        <v>46123</v>
      </c>
      <c r="U3" s="415" t="s">
        <v>36</v>
      </c>
      <c r="V3" s="415"/>
      <c r="W3" s="416"/>
      <c r="X3" s="417">
        <v>64.81</v>
      </c>
      <c r="Y3" s="849" t="s">
        <v>350</v>
      </c>
      <c r="Z3" s="846">
        <v>46147</v>
      </c>
      <c r="AA3" s="418" t="s">
        <v>187</v>
      </c>
      <c r="AB3" s="418" t="s">
        <v>455</v>
      </c>
      <c r="AC3" s="418"/>
      <c r="AD3" s="847">
        <v>36.42</v>
      </c>
      <c r="AE3" s="865" t="s">
        <v>336</v>
      </c>
      <c r="AF3" s="850"/>
      <c r="AG3" s="415"/>
      <c r="AH3" s="415"/>
      <c r="AI3" s="416"/>
      <c r="AJ3" s="851"/>
      <c r="AK3" s="849"/>
      <c r="AL3" s="852">
        <v>46209</v>
      </c>
      <c r="AM3" s="413" t="s">
        <v>497</v>
      </c>
      <c r="AN3" s="413" t="s">
        <v>498</v>
      </c>
      <c r="AO3" s="420"/>
      <c r="AP3" s="421">
        <v>152.85</v>
      </c>
      <c r="AQ3" s="865" t="s">
        <v>336</v>
      </c>
      <c r="AR3" s="414">
        <v>46235</v>
      </c>
      <c r="AS3" s="415" t="s">
        <v>529</v>
      </c>
      <c r="AT3" s="415"/>
      <c r="AU3" s="416"/>
      <c r="AV3" s="417">
        <v>74.34</v>
      </c>
      <c r="AW3" s="849"/>
      <c r="AX3" s="853"/>
      <c r="AY3" s="413"/>
      <c r="AZ3" s="413"/>
      <c r="BA3" s="420"/>
      <c r="BB3" s="421"/>
      <c r="BC3" s="865"/>
      <c r="BD3" s="414"/>
      <c r="BE3" s="415"/>
      <c r="BF3" s="415"/>
      <c r="BG3" s="416"/>
      <c r="BH3" s="417"/>
      <c r="BI3" s="849"/>
      <c r="BJ3" s="412"/>
      <c r="BK3" s="413"/>
      <c r="BL3" s="413"/>
      <c r="BM3" s="420"/>
      <c r="BN3" s="421"/>
      <c r="BO3" s="865"/>
      <c r="BP3" s="414"/>
      <c r="BQ3" s="415"/>
      <c r="BR3" s="415"/>
      <c r="BS3" s="416"/>
      <c r="BT3" s="417"/>
      <c r="BU3" s="849"/>
    </row>
    <row r="4" spans="1:73" ht="12" customHeight="1" thickBot="1" x14ac:dyDescent="0.25">
      <c r="A4" s="1122"/>
      <c r="B4" s="362">
        <v>46038</v>
      </c>
      <c r="C4" s="363" t="s">
        <v>118</v>
      </c>
      <c r="D4" s="363" t="s">
        <v>361</v>
      </c>
      <c r="E4" s="363"/>
      <c r="F4" s="375">
        <v>-19.71</v>
      </c>
      <c r="G4" s="866" t="s">
        <v>336</v>
      </c>
      <c r="H4" s="963"/>
      <c r="I4" s="964" t="s">
        <v>412</v>
      </c>
      <c r="J4" s="964"/>
      <c r="K4" s="965"/>
      <c r="L4" s="966">
        <v>0.99</v>
      </c>
      <c r="M4" s="365"/>
      <c r="N4" s="362">
        <v>46091</v>
      </c>
      <c r="O4" s="363" t="s">
        <v>414</v>
      </c>
      <c r="P4" s="363"/>
      <c r="Q4" s="363"/>
      <c r="R4" s="364">
        <v>5.99</v>
      </c>
      <c r="S4" s="866" t="s">
        <v>350</v>
      </c>
      <c r="T4" s="366">
        <v>46129</v>
      </c>
      <c r="U4" s="367" t="s">
        <v>363</v>
      </c>
      <c r="V4" s="367"/>
      <c r="W4" s="368"/>
      <c r="X4" s="369">
        <v>25.18</v>
      </c>
      <c r="Y4" s="365" t="s">
        <v>350</v>
      </c>
      <c r="Z4" s="362">
        <v>46153</v>
      </c>
      <c r="AA4" s="363" t="s">
        <v>473</v>
      </c>
      <c r="AB4" s="363"/>
      <c r="AC4" s="363"/>
      <c r="AD4" s="364">
        <v>23.1</v>
      </c>
      <c r="AE4" s="866" t="s">
        <v>336</v>
      </c>
      <c r="AF4" s="370">
        <v>46192</v>
      </c>
      <c r="AG4" s="367" t="s">
        <v>187</v>
      </c>
      <c r="AH4" s="367" t="s">
        <v>485</v>
      </c>
      <c r="AI4" s="368"/>
      <c r="AJ4" s="371">
        <v>0.89</v>
      </c>
      <c r="AK4" s="365" t="s">
        <v>336</v>
      </c>
      <c r="AL4" s="372">
        <v>46226</v>
      </c>
      <c r="AM4" s="373" t="s">
        <v>515</v>
      </c>
      <c r="AN4" s="373"/>
      <c r="AO4" s="374"/>
      <c r="AP4" s="375">
        <v>25.25</v>
      </c>
      <c r="AQ4" s="866" t="s">
        <v>336</v>
      </c>
      <c r="AR4" s="366">
        <v>46237</v>
      </c>
      <c r="AS4" s="379" t="s">
        <v>363</v>
      </c>
      <c r="AT4" s="379" t="s">
        <v>530</v>
      </c>
      <c r="AU4" s="380"/>
      <c r="AV4" s="369">
        <v>11.64</v>
      </c>
      <c r="AW4" s="365" t="s">
        <v>350</v>
      </c>
      <c r="AX4" s="733"/>
      <c r="AY4" s="373"/>
      <c r="AZ4" s="373"/>
      <c r="BA4" s="374"/>
      <c r="BB4" s="375"/>
      <c r="BC4" s="866"/>
      <c r="BD4" s="366"/>
      <c r="BE4" s="367"/>
      <c r="BF4" s="367"/>
      <c r="BG4" s="368"/>
      <c r="BH4" s="369"/>
      <c r="BI4" s="365"/>
      <c r="BJ4" s="378"/>
      <c r="BK4" s="373"/>
      <c r="BL4" s="373"/>
      <c r="BM4" s="374"/>
      <c r="BN4" s="375"/>
      <c r="BO4" s="866"/>
      <c r="BP4" s="366"/>
      <c r="BQ4" s="367"/>
      <c r="BR4" s="367"/>
      <c r="BS4" s="368"/>
      <c r="BT4" s="369"/>
      <c r="BU4" s="365"/>
    </row>
    <row r="5" spans="1:73" ht="12" customHeight="1" thickBot="1" x14ac:dyDescent="0.25">
      <c r="A5" s="1122"/>
      <c r="B5" s="378">
        <v>46038</v>
      </c>
      <c r="C5" s="363" t="s">
        <v>118</v>
      </c>
      <c r="D5" s="363" t="s">
        <v>362</v>
      </c>
      <c r="E5" s="363"/>
      <c r="F5" s="375">
        <v>10.99</v>
      </c>
      <c r="G5" s="866" t="s">
        <v>336</v>
      </c>
      <c r="H5" s="971"/>
      <c r="I5" s="964"/>
      <c r="J5" s="964"/>
      <c r="K5" s="965"/>
      <c r="L5" s="966"/>
      <c r="M5" s="365"/>
      <c r="N5" s="378">
        <v>46092</v>
      </c>
      <c r="O5" s="363" t="s">
        <v>415</v>
      </c>
      <c r="P5" s="363"/>
      <c r="Q5" s="363"/>
      <c r="R5" s="364">
        <v>6</v>
      </c>
      <c r="S5" s="866" t="s">
        <v>336</v>
      </c>
      <c r="T5" s="366">
        <v>46130</v>
      </c>
      <c r="U5" s="367" t="s">
        <v>441</v>
      </c>
      <c r="V5" s="367"/>
      <c r="W5" s="368"/>
      <c r="X5" s="369">
        <v>4.5999999999999996</v>
      </c>
      <c r="Y5" s="365" t="s">
        <v>350</v>
      </c>
      <c r="Z5" s="378">
        <v>46157</v>
      </c>
      <c r="AA5" s="363" t="s">
        <v>184</v>
      </c>
      <c r="AB5" s="363" t="s">
        <v>461</v>
      </c>
      <c r="AC5" s="363"/>
      <c r="AD5" s="364">
        <v>35.99</v>
      </c>
      <c r="AE5" s="866" t="s">
        <v>336</v>
      </c>
      <c r="AF5" s="370">
        <v>46202</v>
      </c>
      <c r="AG5" s="367" t="s">
        <v>187</v>
      </c>
      <c r="AH5" s="367" t="s">
        <v>486</v>
      </c>
      <c r="AI5" s="368"/>
      <c r="AJ5" s="371">
        <v>37.409999999999997</v>
      </c>
      <c r="AK5" s="365" t="s">
        <v>336</v>
      </c>
      <c r="AL5" s="372">
        <v>46228</v>
      </c>
      <c r="AM5" s="373" t="s">
        <v>514</v>
      </c>
      <c r="AN5" s="373"/>
      <c r="AO5" s="374"/>
      <c r="AP5" s="375">
        <v>9.99</v>
      </c>
      <c r="AQ5" s="866" t="s">
        <v>336</v>
      </c>
      <c r="AR5" s="366">
        <v>46238</v>
      </c>
      <c r="AS5" s="367" t="s">
        <v>515</v>
      </c>
      <c r="AT5" s="367"/>
      <c r="AU5" s="368"/>
      <c r="AV5" s="369">
        <v>16.71</v>
      </c>
      <c r="AW5" s="365" t="s">
        <v>350</v>
      </c>
      <c r="AX5" s="733"/>
      <c r="AY5" s="373"/>
      <c r="AZ5" s="373"/>
      <c r="BA5" s="374"/>
      <c r="BB5" s="375"/>
      <c r="BC5" s="866"/>
      <c r="BD5" s="366"/>
      <c r="BE5" s="367"/>
      <c r="BF5" s="367"/>
      <c r="BG5" s="368"/>
      <c r="BH5" s="369"/>
      <c r="BI5" s="365"/>
      <c r="BJ5" s="378"/>
      <c r="BK5" s="373"/>
      <c r="BL5" s="373"/>
      <c r="BM5" s="374"/>
      <c r="BN5" s="375"/>
      <c r="BO5" s="866"/>
      <c r="BP5" s="366"/>
      <c r="BQ5" s="367"/>
      <c r="BR5" s="367"/>
      <c r="BS5" s="368"/>
      <c r="BT5" s="369"/>
      <c r="BU5" s="365"/>
    </row>
    <row r="6" spans="1:73" ht="12" customHeight="1" thickBot="1" x14ac:dyDescent="0.25">
      <c r="A6" s="1122"/>
      <c r="B6" s="362">
        <v>46041</v>
      </c>
      <c r="C6" s="363" t="s">
        <v>363</v>
      </c>
      <c r="D6" s="363" t="s">
        <v>364</v>
      </c>
      <c r="E6" s="363"/>
      <c r="F6" s="375">
        <v>23.09</v>
      </c>
      <c r="G6" s="866" t="s">
        <v>350</v>
      </c>
      <c r="H6" s="963"/>
      <c r="I6" s="964" t="s">
        <v>413</v>
      </c>
      <c r="J6" s="964"/>
      <c r="K6" s="965"/>
      <c r="L6" s="966">
        <v>21.25</v>
      </c>
      <c r="M6" s="365"/>
      <c r="N6" s="362">
        <v>46105</v>
      </c>
      <c r="O6" s="363" t="s">
        <v>422</v>
      </c>
      <c r="P6" s="363"/>
      <c r="Q6" s="363"/>
      <c r="R6" s="364">
        <v>32.15</v>
      </c>
      <c r="S6" s="866" t="s">
        <v>350</v>
      </c>
      <c r="T6" s="366">
        <v>46139</v>
      </c>
      <c r="U6" s="367" t="s">
        <v>453</v>
      </c>
      <c r="V6" s="367" t="s">
        <v>454</v>
      </c>
      <c r="W6" s="368"/>
      <c r="X6" s="369">
        <v>900</v>
      </c>
      <c r="Y6" s="365" t="s">
        <v>336</v>
      </c>
      <c r="Z6" s="362">
        <v>46160</v>
      </c>
      <c r="AA6" s="363" t="s">
        <v>184</v>
      </c>
      <c r="AB6" s="363" t="s">
        <v>462</v>
      </c>
      <c r="AC6" s="363"/>
      <c r="AD6" s="364">
        <v>3.99</v>
      </c>
      <c r="AE6" s="866" t="s">
        <v>336</v>
      </c>
      <c r="AF6" s="367"/>
      <c r="AG6" s="367"/>
      <c r="AH6" s="367"/>
      <c r="AI6" s="368"/>
      <c r="AJ6" s="371"/>
      <c r="AK6" s="365"/>
      <c r="AL6" s="381"/>
      <c r="AM6" s="373"/>
      <c r="AN6" s="373"/>
      <c r="AO6" s="374"/>
      <c r="AP6" s="375"/>
      <c r="AQ6" s="866"/>
      <c r="AR6" s="366">
        <v>46247</v>
      </c>
      <c r="AS6" s="367" t="s">
        <v>545</v>
      </c>
      <c r="AT6" s="367" t="s">
        <v>546</v>
      </c>
      <c r="AU6" s="368"/>
      <c r="AV6" s="369">
        <v>9.94</v>
      </c>
      <c r="AW6" s="365" t="s">
        <v>350</v>
      </c>
      <c r="AX6" s="733"/>
      <c r="AY6" s="373"/>
      <c r="AZ6" s="373"/>
      <c r="BA6" s="374"/>
      <c r="BB6" s="375"/>
      <c r="BC6" s="866"/>
      <c r="BD6" s="366"/>
      <c r="BE6" s="367"/>
      <c r="BF6" s="367"/>
      <c r="BG6" s="368"/>
      <c r="BH6" s="369"/>
      <c r="BI6" s="365"/>
      <c r="BJ6" s="378"/>
      <c r="BK6" s="373"/>
      <c r="BL6" s="373"/>
      <c r="BM6" s="374"/>
      <c r="BN6" s="375"/>
      <c r="BO6" s="866"/>
      <c r="BP6" s="366"/>
      <c r="BQ6" s="367"/>
      <c r="BR6" s="367"/>
      <c r="BS6" s="368"/>
      <c r="BT6" s="369"/>
      <c r="BU6" s="365"/>
    </row>
    <row r="7" spans="1:73" ht="12" customHeight="1" thickBot="1" x14ac:dyDescent="0.25">
      <c r="A7" s="1122"/>
      <c r="B7" s="362">
        <v>46048</v>
      </c>
      <c r="C7" s="363" t="s">
        <v>370</v>
      </c>
      <c r="D7" s="363"/>
      <c r="E7" s="363"/>
      <c r="F7" s="375">
        <v>136.04</v>
      </c>
      <c r="G7" s="866" t="s">
        <v>350</v>
      </c>
      <c r="H7" s="963"/>
      <c r="I7" s="964"/>
      <c r="J7" s="964"/>
      <c r="K7" s="965"/>
      <c r="L7" s="966"/>
      <c r="M7" s="365"/>
      <c r="N7" s="382"/>
      <c r="O7" s="363"/>
      <c r="P7" s="363"/>
      <c r="Q7" s="363"/>
      <c r="R7" s="364"/>
      <c r="S7" s="866"/>
      <c r="T7" s="366">
        <v>46140</v>
      </c>
      <c r="U7" s="367" t="s">
        <v>453</v>
      </c>
      <c r="V7" s="367" t="s">
        <v>454</v>
      </c>
      <c r="W7" s="368"/>
      <c r="X7" s="369">
        <v>900</v>
      </c>
      <c r="Y7" s="365" t="s">
        <v>336</v>
      </c>
      <c r="Z7" s="362">
        <v>46168</v>
      </c>
      <c r="AA7" s="363" t="s">
        <v>472</v>
      </c>
      <c r="AB7" s="363"/>
      <c r="AC7" s="363"/>
      <c r="AD7" s="364">
        <v>19.75</v>
      </c>
      <c r="AE7" s="866" t="s">
        <v>336</v>
      </c>
      <c r="AF7" s="367"/>
      <c r="AG7" s="367"/>
      <c r="AH7" s="367"/>
      <c r="AI7" s="368"/>
      <c r="AJ7" s="371"/>
      <c r="AK7" s="365"/>
      <c r="AL7" s="381"/>
      <c r="AM7" s="373"/>
      <c r="AN7" s="373"/>
      <c r="AO7" s="374"/>
      <c r="AP7" s="375"/>
      <c r="AQ7" s="866"/>
      <c r="AR7" s="366">
        <v>46248</v>
      </c>
      <c r="AS7" s="367" t="s">
        <v>185</v>
      </c>
      <c r="AT7" s="367"/>
      <c r="AU7" s="368"/>
      <c r="AV7" s="369">
        <v>35.25</v>
      </c>
      <c r="AW7" s="365" t="s">
        <v>350</v>
      </c>
      <c r="AX7" s="377"/>
      <c r="AY7" s="373"/>
      <c r="AZ7" s="373"/>
      <c r="BA7" s="374"/>
      <c r="BB7" s="375"/>
      <c r="BC7" s="866"/>
      <c r="BD7" s="366"/>
      <c r="BE7" s="367"/>
      <c r="BF7" s="367"/>
      <c r="BG7" s="368"/>
      <c r="BH7" s="369"/>
      <c r="BI7" s="365"/>
      <c r="BJ7" s="378"/>
      <c r="BK7" s="373"/>
      <c r="BL7" s="373"/>
      <c r="BM7" s="374"/>
      <c r="BN7" s="375"/>
      <c r="BO7" s="866"/>
      <c r="BP7" s="366"/>
      <c r="BQ7" s="367"/>
      <c r="BR7" s="367"/>
      <c r="BS7" s="368"/>
      <c r="BT7" s="369"/>
      <c r="BU7" s="365"/>
    </row>
    <row r="8" spans="1:73" ht="12" customHeight="1" x14ac:dyDescent="0.2">
      <c r="A8" s="1122"/>
      <c r="B8" s="382"/>
      <c r="C8" s="363"/>
      <c r="D8" s="363"/>
      <c r="E8" s="363"/>
      <c r="F8" s="375"/>
      <c r="G8" s="866"/>
      <c r="H8" s="963"/>
      <c r="I8" s="964"/>
      <c r="J8" s="964"/>
      <c r="K8" s="965"/>
      <c r="L8" s="966"/>
      <c r="M8" s="365"/>
      <c r="N8" s="382"/>
      <c r="O8" s="363"/>
      <c r="P8" s="363"/>
      <c r="Q8" s="363"/>
      <c r="R8" s="364"/>
      <c r="S8" s="866"/>
      <c r="T8" s="366">
        <v>46141</v>
      </c>
      <c r="U8" s="367" t="s">
        <v>453</v>
      </c>
      <c r="V8" s="367" t="s">
        <v>454</v>
      </c>
      <c r="W8" s="368"/>
      <c r="X8" s="369">
        <v>900</v>
      </c>
      <c r="Y8" s="365" t="s">
        <v>336</v>
      </c>
      <c r="Z8" s="382"/>
      <c r="AA8" s="363"/>
      <c r="AB8" s="363"/>
      <c r="AC8" s="363"/>
      <c r="AD8" s="364"/>
      <c r="AE8" s="866" t="s">
        <v>474</v>
      </c>
      <c r="AF8" s="367"/>
      <c r="AG8" s="367"/>
      <c r="AH8" s="367"/>
      <c r="AI8" s="368"/>
      <c r="AJ8" s="371"/>
      <c r="AK8" s="365"/>
      <c r="AL8" s="381"/>
      <c r="AM8" s="373"/>
      <c r="AN8" s="373"/>
      <c r="AO8" s="374"/>
      <c r="AP8" s="375"/>
      <c r="AQ8" s="866"/>
      <c r="AR8" s="366">
        <v>46259</v>
      </c>
      <c r="AS8" s="367" t="s">
        <v>515</v>
      </c>
      <c r="AT8" s="367"/>
      <c r="AU8" s="368"/>
      <c r="AV8" s="369">
        <v>19.75</v>
      </c>
      <c r="AW8" s="365" t="s">
        <v>350</v>
      </c>
      <c r="AX8" s="377"/>
      <c r="AY8" s="373"/>
      <c r="AZ8" s="373"/>
      <c r="BA8" s="374"/>
      <c r="BB8" s="375"/>
      <c r="BC8" s="866"/>
      <c r="BD8" s="366"/>
      <c r="BE8" s="367"/>
      <c r="BF8" s="367"/>
      <c r="BG8" s="368"/>
      <c r="BH8" s="369"/>
      <c r="BI8" s="365"/>
      <c r="BJ8" s="378"/>
      <c r="BK8" s="373"/>
      <c r="BL8" s="373"/>
      <c r="BM8" s="374"/>
      <c r="BN8" s="375"/>
      <c r="BO8" s="866"/>
      <c r="BP8" s="366"/>
      <c r="BQ8" s="367"/>
      <c r="BR8" s="367"/>
      <c r="BS8" s="368"/>
      <c r="BT8" s="369"/>
      <c r="BU8" s="365"/>
    </row>
    <row r="9" spans="1:73" ht="12" customHeight="1" x14ac:dyDescent="0.2">
      <c r="A9" s="1122"/>
      <c r="B9" s="382"/>
      <c r="C9" s="363"/>
      <c r="D9" s="363"/>
      <c r="E9" s="363"/>
      <c r="F9" s="375"/>
      <c r="G9" s="866"/>
      <c r="H9" s="963"/>
      <c r="I9" s="964"/>
      <c r="J9" s="964"/>
      <c r="K9" s="965"/>
      <c r="L9" s="966"/>
      <c r="M9" s="365"/>
      <c r="N9" s="382"/>
      <c r="O9" s="363"/>
      <c r="P9" s="363"/>
      <c r="Q9" s="363"/>
      <c r="R9" s="364"/>
      <c r="S9" s="866"/>
      <c r="T9" s="376"/>
      <c r="U9" s="367"/>
      <c r="V9" s="367"/>
      <c r="W9" s="368"/>
      <c r="X9" s="369"/>
      <c r="Y9" s="365"/>
      <c r="Z9" s="382"/>
      <c r="AA9" s="363"/>
      <c r="AB9" s="363"/>
      <c r="AC9" s="363"/>
      <c r="AD9" s="364"/>
      <c r="AE9" s="866"/>
      <c r="AF9" s="367"/>
      <c r="AG9" s="367"/>
      <c r="AH9" s="367"/>
      <c r="AI9" s="368"/>
      <c r="AJ9" s="371"/>
      <c r="AK9" s="365"/>
      <c r="AL9" s="381"/>
      <c r="AM9" s="373"/>
      <c r="AN9" s="373"/>
      <c r="AO9" s="374"/>
      <c r="AP9" s="375"/>
      <c r="AQ9" s="866"/>
      <c r="AR9" s="366">
        <v>46260</v>
      </c>
      <c r="AS9" s="367" t="s">
        <v>489</v>
      </c>
      <c r="AT9" s="367"/>
      <c r="AU9" s="368"/>
      <c r="AV9" s="369">
        <v>25.99</v>
      </c>
      <c r="AW9" s="365" t="s">
        <v>350</v>
      </c>
      <c r="AX9" s="377"/>
      <c r="AY9" s="373"/>
      <c r="AZ9" s="373"/>
      <c r="BA9" s="374"/>
      <c r="BB9" s="375"/>
      <c r="BC9" s="866"/>
      <c r="BD9" s="376"/>
      <c r="BE9" s="367"/>
      <c r="BF9" s="367"/>
      <c r="BG9" s="368"/>
      <c r="BH9" s="369"/>
      <c r="BI9" s="365"/>
      <c r="BJ9" s="378"/>
      <c r="BK9" s="373"/>
      <c r="BL9" s="373"/>
      <c r="BM9" s="374"/>
      <c r="BN9" s="375"/>
      <c r="BO9" s="866"/>
      <c r="BP9" s="366"/>
      <c r="BQ9" s="367"/>
      <c r="BR9" s="367"/>
      <c r="BS9" s="368"/>
      <c r="BT9" s="369"/>
      <c r="BU9" s="365"/>
    </row>
    <row r="10" spans="1:73" ht="12" customHeight="1" x14ac:dyDescent="0.2">
      <c r="A10" s="1122"/>
      <c r="B10" s="382"/>
      <c r="C10" s="363"/>
      <c r="D10" s="363"/>
      <c r="E10" s="363"/>
      <c r="F10" s="375"/>
      <c r="G10" s="866"/>
      <c r="H10" s="963"/>
      <c r="I10" s="964"/>
      <c r="J10" s="964"/>
      <c r="K10" s="965"/>
      <c r="L10" s="966"/>
      <c r="M10" s="365"/>
      <c r="N10" s="382"/>
      <c r="O10" s="363"/>
      <c r="P10" s="363"/>
      <c r="Q10" s="363"/>
      <c r="R10" s="364"/>
      <c r="S10" s="866"/>
      <c r="T10" s="376"/>
      <c r="U10" s="367"/>
      <c r="V10" s="367"/>
      <c r="W10" s="368"/>
      <c r="X10" s="369"/>
      <c r="Y10" s="365"/>
      <c r="Z10" s="382"/>
      <c r="AA10" s="363"/>
      <c r="AB10" s="363"/>
      <c r="AC10" s="363"/>
      <c r="AD10" s="364"/>
      <c r="AE10" s="866"/>
      <c r="AF10" s="367"/>
      <c r="AG10" s="367"/>
      <c r="AH10" s="367"/>
      <c r="AI10" s="368"/>
      <c r="AJ10" s="371"/>
      <c r="AK10" s="365"/>
      <c r="AL10" s="381"/>
      <c r="AM10" s="373"/>
      <c r="AN10" s="373"/>
      <c r="AO10" s="374"/>
      <c r="AP10" s="375"/>
      <c r="AQ10" s="866"/>
      <c r="AR10" s="376"/>
      <c r="AS10" s="367"/>
      <c r="AT10" s="367"/>
      <c r="AU10" s="368"/>
      <c r="AV10" s="369"/>
      <c r="AW10" s="365"/>
      <c r="AX10" s="377"/>
      <c r="AY10" s="373"/>
      <c r="AZ10" s="373"/>
      <c r="BA10" s="374"/>
      <c r="BB10" s="375"/>
      <c r="BC10" s="866"/>
      <c r="BD10" s="366"/>
      <c r="BE10" s="367"/>
      <c r="BF10" s="367"/>
      <c r="BG10" s="368"/>
      <c r="BH10" s="369"/>
      <c r="BI10" s="365"/>
      <c r="BJ10" s="378"/>
      <c r="BK10" s="373"/>
      <c r="BL10" s="373"/>
      <c r="BM10" s="374"/>
      <c r="BN10" s="375"/>
      <c r="BO10" s="866"/>
      <c r="BP10" s="366"/>
      <c r="BQ10" s="367"/>
      <c r="BR10" s="367"/>
      <c r="BS10" s="368"/>
      <c r="BT10" s="369"/>
      <c r="BU10" s="365"/>
    </row>
    <row r="11" spans="1:73" ht="12" customHeight="1" x14ac:dyDescent="0.2">
      <c r="A11" s="1122"/>
      <c r="B11" s="382"/>
      <c r="C11" s="363"/>
      <c r="D11" s="363"/>
      <c r="E11" s="363"/>
      <c r="F11" s="375"/>
      <c r="G11" s="866"/>
      <c r="H11" s="963"/>
      <c r="I11" s="964"/>
      <c r="J11" s="964"/>
      <c r="K11" s="965"/>
      <c r="L11" s="966"/>
      <c r="M11" s="365"/>
      <c r="N11" s="382"/>
      <c r="O11" s="363"/>
      <c r="P11" s="363"/>
      <c r="Q11" s="363"/>
      <c r="R11" s="364"/>
      <c r="S11" s="866"/>
      <c r="T11" s="376"/>
      <c r="U11" s="367"/>
      <c r="V11" s="367"/>
      <c r="W11" s="368"/>
      <c r="X11" s="369"/>
      <c r="Y11" s="365"/>
      <c r="Z11" s="382"/>
      <c r="AA11" s="363"/>
      <c r="AB11" s="363"/>
      <c r="AC11" s="363"/>
      <c r="AD11" s="364"/>
      <c r="AE11" s="866"/>
      <c r="AF11" s="367"/>
      <c r="AG11" s="367"/>
      <c r="AH11" s="367"/>
      <c r="AI11" s="368"/>
      <c r="AJ11" s="371"/>
      <c r="AK11" s="365"/>
      <c r="AL11" s="381"/>
      <c r="AM11" s="373"/>
      <c r="AN11" s="373"/>
      <c r="AO11" s="374"/>
      <c r="AP11" s="375"/>
      <c r="AQ11" s="866"/>
      <c r="AR11" s="376"/>
      <c r="AS11" s="367"/>
      <c r="AT11" s="367"/>
      <c r="AU11" s="368"/>
      <c r="AV11" s="369"/>
      <c r="AW11" s="365"/>
      <c r="AX11" s="377"/>
      <c r="AY11" s="373"/>
      <c r="AZ11" s="373"/>
      <c r="BA11" s="374"/>
      <c r="BB11" s="375"/>
      <c r="BC11" s="866"/>
      <c r="BD11" s="376"/>
      <c r="BE11" s="367"/>
      <c r="BF11" s="367"/>
      <c r="BG11" s="368"/>
      <c r="BH11" s="369"/>
      <c r="BI11" s="365"/>
      <c r="BJ11" s="378"/>
      <c r="BK11" s="373"/>
      <c r="BL11" s="373"/>
      <c r="BM11" s="374"/>
      <c r="BN11" s="375"/>
      <c r="BO11" s="866"/>
      <c r="BP11" s="366"/>
      <c r="BQ11" s="367"/>
      <c r="BR11" s="367"/>
      <c r="BS11" s="368"/>
      <c r="BT11" s="369"/>
      <c r="BU11" s="365"/>
    </row>
    <row r="12" spans="1:73" ht="12" customHeight="1" x14ac:dyDescent="0.2">
      <c r="A12" s="1122"/>
      <c r="B12" s="382"/>
      <c r="C12" s="363"/>
      <c r="D12" s="363"/>
      <c r="E12" s="363"/>
      <c r="F12" s="375"/>
      <c r="G12" s="866"/>
      <c r="H12" s="963"/>
      <c r="I12" s="964"/>
      <c r="J12" s="964"/>
      <c r="K12" s="965"/>
      <c r="L12" s="966"/>
      <c r="M12" s="365"/>
      <c r="N12" s="382"/>
      <c r="O12" s="363"/>
      <c r="P12" s="363"/>
      <c r="Q12" s="363"/>
      <c r="R12" s="364"/>
      <c r="S12" s="866"/>
      <c r="T12" s="376"/>
      <c r="U12" s="367"/>
      <c r="V12" s="367"/>
      <c r="W12" s="368"/>
      <c r="X12" s="369"/>
      <c r="Y12" s="365"/>
      <c r="Z12" s="382"/>
      <c r="AA12" s="363"/>
      <c r="AB12" s="363"/>
      <c r="AC12" s="363"/>
      <c r="AD12" s="364"/>
      <c r="AE12" s="866"/>
      <c r="AF12" s="367"/>
      <c r="AG12" s="383"/>
      <c r="AH12" s="383"/>
      <c r="AI12" s="384"/>
      <c r="AJ12" s="371"/>
      <c r="AK12" s="365"/>
      <c r="AL12" s="381"/>
      <c r="AM12" s="373"/>
      <c r="AN12" s="373"/>
      <c r="AO12" s="374"/>
      <c r="AP12" s="375"/>
      <c r="AQ12" s="866"/>
      <c r="AR12" s="376"/>
      <c r="AS12" s="367"/>
      <c r="AT12" s="367"/>
      <c r="AU12" s="368"/>
      <c r="AV12" s="369"/>
      <c r="AW12" s="365"/>
      <c r="AX12" s="377"/>
      <c r="AY12" s="373"/>
      <c r="AZ12" s="373"/>
      <c r="BA12" s="374"/>
      <c r="BB12" s="375"/>
      <c r="BC12" s="866"/>
      <c r="BD12" s="376"/>
      <c r="BE12" s="367"/>
      <c r="BF12" s="367"/>
      <c r="BG12" s="368"/>
      <c r="BH12" s="369"/>
      <c r="BI12" s="365"/>
      <c r="BJ12" s="378"/>
      <c r="BK12" s="373"/>
      <c r="BL12" s="373"/>
      <c r="BM12" s="374"/>
      <c r="BN12" s="375"/>
      <c r="BO12" s="866"/>
      <c r="BP12" s="366"/>
      <c r="BQ12" s="367"/>
      <c r="BR12" s="367"/>
      <c r="BS12" s="368"/>
      <c r="BT12" s="369"/>
      <c r="BU12" s="365"/>
    </row>
    <row r="13" spans="1:73" ht="12" customHeight="1" x14ac:dyDescent="0.2">
      <c r="A13" s="1122"/>
      <c r="B13" s="382"/>
      <c r="C13" s="363"/>
      <c r="D13" s="363"/>
      <c r="E13" s="363"/>
      <c r="F13" s="375"/>
      <c r="G13" s="866"/>
      <c r="H13" s="963"/>
      <c r="I13" s="964"/>
      <c r="J13" s="964"/>
      <c r="K13" s="965"/>
      <c r="L13" s="966"/>
      <c r="M13" s="365"/>
      <c r="N13" s="382"/>
      <c r="O13" s="363"/>
      <c r="P13" s="363"/>
      <c r="Q13" s="363"/>
      <c r="R13" s="364"/>
      <c r="S13" s="866"/>
      <c r="T13" s="376"/>
      <c r="U13" s="367"/>
      <c r="V13" s="367"/>
      <c r="W13" s="368"/>
      <c r="X13" s="369"/>
      <c r="Y13" s="365"/>
      <c r="Z13" s="362"/>
      <c r="AA13" s="363"/>
      <c r="AB13" s="363"/>
      <c r="AC13" s="363"/>
      <c r="AD13" s="364"/>
      <c r="AE13" s="866"/>
      <c r="AF13" s="367"/>
      <c r="AG13" s="379"/>
      <c r="AH13" s="379"/>
      <c r="AI13" s="380"/>
      <c r="AJ13" s="371"/>
      <c r="AK13" s="365"/>
      <c r="AL13" s="381"/>
      <c r="AM13" s="373"/>
      <c r="AN13" s="373"/>
      <c r="AO13" s="374"/>
      <c r="AP13" s="375"/>
      <c r="AQ13" s="866"/>
      <c r="AR13" s="376"/>
      <c r="AS13" s="367"/>
      <c r="AT13" s="367"/>
      <c r="AU13" s="368"/>
      <c r="AV13" s="369"/>
      <c r="AW13" s="365"/>
      <c r="AX13" s="377"/>
      <c r="AY13" s="373"/>
      <c r="AZ13" s="373"/>
      <c r="BA13" s="374"/>
      <c r="BB13" s="375"/>
      <c r="BC13" s="866"/>
      <c r="BD13" s="376"/>
      <c r="BE13" s="367"/>
      <c r="BF13" s="367"/>
      <c r="BG13" s="368"/>
      <c r="BH13" s="369"/>
      <c r="BI13" s="365"/>
      <c r="BJ13" s="378"/>
      <c r="BK13" s="373"/>
      <c r="BL13" s="373"/>
      <c r="BM13" s="374"/>
      <c r="BN13" s="375"/>
      <c r="BO13" s="866"/>
      <c r="BP13" s="366"/>
      <c r="BQ13" s="367"/>
      <c r="BR13" s="367"/>
      <c r="BS13" s="368"/>
      <c r="BT13" s="369"/>
      <c r="BU13" s="365"/>
    </row>
    <row r="14" spans="1:73" ht="12" customHeight="1" thickBot="1" x14ac:dyDescent="0.25">
      <c r="A14" s="1122"/>
      <c r="B14" s="382"/>
      <c r="C14" s="363"/>
      <c r="D14" s="363"/>
      <c r="E14" s="363"/>
      <c r="F14" s="375"/>
      <c r="G14" s="866"/>
      <c r="H14" s="963"/>
      <c r="I14" s="964"/>
      <c r="J14" s="964"/>
      <c r="K14" s="965"/>
      <c r="L14" s="966"/>
      <c r="M14" s="365"/>
      <c r="N14" s="382"/>
      <c r="O14" s="363"/>
      <c r="P14" s="363"/>
      <c r="Q14" s="363"/>
      <c r="R14" s="364"/>
      <c r="S14" s="866"/>
      <c r="T14" s="376"/>
      <c r="U14" s="367"/>
      <c r="V14" s="367"/>
      <c r="W14" s="368"/>
      <c r="X14" s="369"/>
      <c r="Y14" s="365"/>
      <c r="Z14" s="362"/>
      <c r="AA14" s="363"/>
      <c r="AB14" s="363"/>
      <c r="AC14" s="363"/>
      <c r="AD14" s="364"/>
      <c r="AE14" s="866"/>
      <c r="AF14" s="370">
        <v>46178</v>
      </c>
      <c r="AG14" s="379" t="s">
        <v>286</v>
      </c>
      <c r="AH14" s="379" t="s">
        <v>487</v>
      </c>
      <c r="AI14" s="380" t="s">
        <v>488</v>
      </c>
      <c r="AJ14" s="371">
        <v>800</v>
      </c>
      <c r="AK14" s="365" t="s">
        <v>336</v>
      </c>
      <c r="AL14" s="381"/>
      <c r="AM14" s="373"/>
      <c r="AN14" s="373"/>
      <c r="AO14" s="374"/>
      <c r="AP14" s="375"/>
      <c r="AQ14" s="866"/>
      <c r="AR14" s="376"/>
      <c r="AS14" s="367"/>
      <c r="AT14" s="367"/>
      <c r="AU14" s="368"/>
      <c r="AV14" s="369"/>
      <c r="AW14" s="365"/>
      <c r="AX14" s="377"/>
      <c r="AY14" s="373"/>
      <c r="AZ14" s="373"/>
      <c r="BA14" s="374"/>
      <c r="BB14" s="375"/>
      <c r="BC14" s="866"/>
      <c r="BD14" s="376"/>
      <c r="BE14" s="367"/>
      <c r="BF14" s="367"/>
      <c r="BG14" s="368"/>
      <c r="BH14" s="369"/>
      <c r="BI14" s="365"/>
      <c r="BJ14" s="378"/>
      <c r="BK14" s="373"/>
      <c r="BL14" s="373"/>
      <c r="BM14" s="374"/>
      <c r="BN14" s="375"/>
      <c r="BO14" s="866"/>
      <c r="BP14" s="366"/>
      <c r="BQ14" s="367"/>
      <c r="BR14" s="367"/>
      <c r="BS14" s="368"/>
      <c r="BT14" s="369"/>
      <c r="BU14" s="365"/>
    </row>
    <row r="15" spans="1:73" ht="12" customHeight="1" thickBot="1" x14ac:dyDescent="0.25">
      <c r="A15" s="1122"/>
      <c r="B15" s="382"/>
      <c r="C15" s="418"/>
      <c r="D15" s="418"/>
      <c r="E15" s="418"/>
      <c r="F15" s="421"/>
      <c r="G15" s="865"/>
      <c r="H15" s="963"/>
      <c r="I15" s="964"/>
      <c r="J15" s="964"/>
      <c r="K15" s="965"/>
      <c r="L15" s="966"/>
      <c r="M15" s="365"/>
      <c r="N15" s="382"/>
      <c r="O15" s="363" t="s">
        <v>420</v>
      </c>
      <c r="P15" s="363" t="s">
        <v>421</v>
      </c>
      <c r="Q15" s="363"/>
      <c r="R15" s="364">
        <v>1600</v>
      </c>
      <c r="S15" s="866" t="s">
        <v>336</v>
      </c>
      <c r="T15" s="376"/>
      <c r="U15" s="367"/>
      <c r="V15" s="367"/>
      <c r="W15" s="368"/>
      <c r="X15" s="369"/>
      <c r="Y15" s="365"/>
      <c r="Z15" s="382"/>
      <c r="AA15" s="363"/>
      <c r="AB15" s="363"/>
      <c r="AC15" s="363"/>
      <c r="AD15" s="364"/>
      <c r="AE15" s="866"/>
      <c r="AF15" s="370">
        <v>46182</v>
      </c>
      <c r="AG15" s="379" t="s">
        <v>286</v>
      </c>
      <c r="AH15" s="379" t="s">
        <v>487</v>
      </c>
      <c r="AI15" s="380" t="s">
        <v>488</v>
      </c>
      <c r="AJ15" s="371">
        <v>500</v>
      </c>
      <c r="AK15" s="365" t="s">
        <v>336</v>
      </c>
      <c r="AL15" s="381"/>
      <c r="AM15" s="373"/>
      <c r="AN15" s="373" t="s">
        <v>454</v>
      </c>
      <c r="AO15" s="374" t="s">
        <v>475</v>
      </c>
      <c r="AP15" s="375">
        <v>1000</v>
      </c>
      <c r="AQ15" s="866" t="s">
        <v>336</v>
      </c>
      <c r="AR15" s="376"/>
      <c r="AS15" s="367"/>
      <c r="AT15" s="367"/>
      <c r="AU15" s="368"/>
      <c r="AV15" s="369"/>
      <c r="AW15" s="365"/>
      <c r="AX15" s="377"/>
      <c r="AY15" s="373"/>
      <c r="AZ15" s="373"/>
      <c r="BA15" s="374"/>
      <c r="BB15" s="375"/>
      <c r="BC15" s="866"/>
      <c r="BD15" s="376"/>
      <c r="BE15" s="367"/>
      <c r="BF15" s="367"/>
      <c r="BG15" s="368"/>
      <c r="BH15" s="369"/>
      <c r="BI15" s="365"/>
      <c r="BJ15" s="378"/>
      <c r="BK15" s="373"/>
      <c r="BL15" s="373"/>
      <c r="BM15" s="374"/>
      <c r="BN15" s="375"/>
      <c r="BO15" s="866"/>
      <c r="BP15" s="366"/>
      <c r="BQ15" s="367"/>
      <c r="BR15" s="367"/>
      <c r="BS15" s="368"/>
      <c r="BT15" s="369"/>
      <c r="BU15" s="365"/>
    </row>
    <row r="16" spans="1:73" ht="12" customHeight="1" thickBot="1" x14ac:dyDescent="0.25">
      <c r="A16" s="1122"/>
      <c r="B16" s="385"/>
      <c r="C16" s="386"/>
      <c r="D16" s="386"/>
      <c r="E16" s="386"/>
      <c r="F16" s="399"/>
      <c r="G16" s="867"/>
      <c r="H16" s="967"/>
      <c r="I16" s="968"/>
      <c r="J16" s="968"/>
      <c r="K16" s="969"/>
      <c r="L16" s="970"/>
      <c r="M16" s="392"/>
      <c r="N16" s="385"/>
      <c r="O16" s="386"/>
      <c r="P16" s="386"/>
      <c r="Q16" s="386"/>
      <c r="R16" s="387"/>
      <c r="S16" s="867"/>
      <c r="T16" s="388"/>
      <c r="U16" s="389"/>
      <c r="V16" s="389"/>
      <c r="W16" s="390"/>
      <c r="X16" s="391"/>
      <c r="Y16" s="392"/>
      <c r="Z16" s="385"/>
      <c r="AA16" s="386"/>
      <c r="AB16" s="386"/>
      <c r="AC16" s="386"/>
      <c r="AD16" s="387"/>
      <c r="AE16" s="867"/>
      <c r="AF16" s="389"/>
      <c r="AG16" s="393"/>
      <c r="AH16" s="393"/>
      <c r="AI16" s="394"/>
      <c r="AJ16" s="395"/>
      <c r="AK16" s="392"/>
      <c r="AL16" s="396"/>
      <c r="AM16" s="397"/>
      <c r="AN16" s="397"/>
      <c r="AO16" s="398"/>
      <c r="AP16" s="399"/>
      <c r="AQ16" s="867"/>
      <c r="AR16" s="388"/>
      <c r="AS16" s="389"/>
      <c r="AT16" s="389"/>
      <c r="AU16" s="390"/>
      <c r="AV16" s="391"/>
      <c r="AW16" s="392"/>
      <c r="AX16" s="400"/>
      <c r="AY16" s="397"/>
      <c r="AZ16" s="397"/>
      <c r="BA16" s="398"/>
      <c r="BB16" s="399"/>
      <c r="BC16" s="867"/>
      <c r="BD16" s="388"/>
      <c r="BE16" s="389"/>
      <c r="BF16" s="389"/>
      <c r="BG16" s="390"/>
      <c r="BH16" s="391"/>
      <c r="BI16" s="392"/>
      <c r="BJ16" s="401"/>
      <c r="BK16" s="397"/>
      <c r="BL16" s="397"/>
      <c r="BM16" s="398"/>
      <c r="BN16" s="399"/>
      <c r="BO16" s="867"/>
      <c r="BP16" s="402"/>
      <c r="BQ16" s="389"/>
      <c r="BR16" s="389"/>
      <c r="BS16" s="390"/>
      <c r="BT16" s="391"/>
      <c r="BU16" s="392"/>
    </row>
    <row r="17" spans="1:74" ht="12" customHeight="1" x14ac:dyDescent="0.2">
      <c r="B17" s="403"/>
      <c r="C17" s="403"/>
      <c r="D17" s="403"/>
      <c r="E17" s="403"/>
      <c r="F17" s="404">
        <f>SUM(F2:F16)</f>
        <v>504.37</v>
      </c>
      <c r="G17" s="405"/>
      <c r="H17" s="403"/>
      <c r="I17" s="403"/>
      <c r="J17" s="403"/>
      <c r="K17" s="403"/>
      <c r="L17" s="404">
        <f>SUM(L3:L16)</f>
        <v>22.24</v>
      </c>
      <c r="M17" s="406"/>
      <c r="N17" s="403"/>
      <c r="O17" s="403"/>
      <c r="P17" s="403"/>
      <c r="Q17" s="403"/>
      <c r="R17" s="404">
        <f>SUM(R3:R16)</f>
        <v>1644.14</v>
      </c>
      <c r="S17" s="405"/>
      <c r="T17" s="403"/>
      <c r="U17" s="403"/>
      <c r="V17" s="403"/>
      <c r="W17" s="403"/>
      <c r="X17" s="404">
        <f>SUM(X3:X16)</f>
        <v>2794.59</v>
      </c>
      <c r="Y17" s="406"/>
      <c r="Z17" s="403"/>
      <c r="AA17" s="403"/>
      <c r="AB17" s="403"/>
      <c r="AC17" s="403"/>
      <c r="AD17" s="404">
        <f>SUM(AD3:AD16)</f>
        <v>119.25</v>
      </c>
      <c r="AE17" s="405"/>
      <c r="AF17" s="403"/>
      <c r="AG17" s="403"/>
      <c r="AH17" s="403"/>
      <c r="AI17" s="403"/>
      <c r="AJ17" s="404">
        <f>SUM(AJ3:AJ16)</f>
        <v>1338.3</v>
      </c>
      <c r="AK17" s="406"/>
      <c r="AL17" s="403"/>
      <c r="AM17" s="403"/>
      <c r="AN17" s="403"/>
      <c r="AO17" s="403"/>
      <c r="AP17" s="404">
        <f>SUM(AP2:AP16)</f>
        <v>1188.0899999999999</v>
      </c>
      <c r="AQ17" s="405"/>
      <c r="AR17" s="403"/>
      <c r="AS17" s="403"/>
      <c r="AT17" s="403"/>
      <c r="AU17" s="403"/>
      <c r="AV17" s="407">
        <f>SUM(AV2:AV16)</f>
        <v>193.62</v>
      </c>
      <c r="AW17" s="406"/>
      <c r="AX17" s="408"/>
      <c r="AY17" s="403"/>
      <c r="AZ17" s="403"/>
      <c r="BA17" s="403"/>
      <c r="BB17" s="404">
        <f>SUM(BB2:BB16)</f>
        <v>0</v>
      </c>
      <c r="BC17" s="405"/>
      <c r="BD17" s="403"/>
      <c r="BE17" s="403"/>
      <c r="BF17" s="403"/>
      <c r="BG17" s="403"/>
      <c r="BH17" s="404">
        <f>SUM(BH3:BH16)</f>
        <v>0</v>
      </c>
      <c r="BI17" s="406"/>
      <c r="BJ17" s="403"/>
      <c r="BK17" s="403"/>
      <c r="BL17" s="403"/>
      <c r="BM17" s="403"/>
      <c r="BN17" s="404">
        <f>SUM(BN2:BN16)</f>
        <v>0</v>
      </c>
      <c r="BO17" s="405"/>
      <c r="BP17" s="403"/>
      <c r="BQ17" s="403"/>
      <c r="BR17" s="403"/>
      <c r="BS17" s="403"/>
      <c r="BT17" s="404">
        <f>SUM(BT2:BT16)</f>
        <v>0</v>
      </c>
      <c r="BU17" s="406"/>
    </row>
    <row r="18" spans="1:74" ht="12" customHeight="1" x14ac:dyDescent="0.2">
      <c r="C18" s="409"/>
      <c r="D18" s="409"/>
      <c r="E18" s="409"/>
      <c r="F18" s="409"/>
      <c r="G18" s="405"/>
      <c r="H18" s="409"/>
      <c r="I18" s="409"/>
      <c r="J18" s="409"/>
      <c r="K18" s="409"/>
      <c r="L18" s="409"/>
      <c r="M18" s="406"/>
      <c r="N18" s="409"/>
      <c r="O18" s="409"/>
      <c r="P18" s="409"/>
      <c r="Q18" s="409"/>
      <c r="R18" s="409"/>
      <c r="S18" s="405"/>
      <c r="T18" s="409"/>
      <c r="U18" s="409"/>
      <c r="V18" s="409"/>
      <c r="W18" s="409"/>
      <c r="X18" s="409"/>
      <c r="Y18" s="406"/>
      <c r="Z18" s="409"/>
      <c r="AA18" s="409"/>
      <c r="AB18" s="409"/>
      <c r="AC18" s="409"/>
      <c r="AD18" s="409"/>
      <c r="AE18" s="405"/>
      <c r="AF18" s="409"/>
      <c r="AG18" s="409"/>
      <c r="AH18" s="409"/>
      <c r="AI18" s="409"/>
      <c r="AJ18" s="409"/>
      <c r="AK18" s="406"/>
      <c r="AL18" s="409"/>
      <c r="AM18" s="409"/>
      <c r="AN18" s="409"/>
      <c r="AO18" s="409"/>
      <c r="AP18" s="409"/>
      <c r="AQ18" s="405"/>
      <c r="AR18" s="409"/>
      <c r="AS18" s="409"/>
      <c r="AT18" s="409"/>
      <c r="AU18" s="409"/>
      <c r="AV18" s="409"/>
      <c r="AW18" s="406"/>
      <c r="AX18" s="410"/>
      <c r="AY18" s="409"/>
      <c r="AZ18" s="409"/>
      <c r="BA18" s="409"/>
      <c r="BB18" s="409"/>
      <c r="BC18" s="405"/>
      <c r="BD18" s="409"/>
      <c r="BE18" s="409"/>
      <c r="BF18" s="409"/>
      <c r="BG18" s="409"/>
      <c r="BH18" s="409"/>
      <c r="BI18" s="406"/>
      <c r="BJ18" s="409"/>
      <c r="BK18" s="409"/>
      <c r="BL18" s="409"/>
      <c r="BM18" s="409"/>
      <c r="BN18" s="409"/>
      <c r="BO18" s="405"/>
      <c r="BP18" s="409"/>
      <c r="BQ18" s="409"/>
      <c r="BR18" s="409"/>
      <c r="BS18" s="409"/>
      <c r="BT18" s="409"/>
      <c r="BU18" s="406"/>
      <c r="BV18" s="409"/>
    </row>
    <row r="19" spans="1:74" ht="12" customHeight="1" thickBot="1" x14ac:dyDescent="0.25">
      <c r="C19" s="409"/>
      <c r="D19" s="409"/>
      <c r="E19" s="409"/>
      <c r="F19" s="409"/>
      <c r="G19" s="405"/>
      <c r="H19" s="409"/>
      <c r="I19" s="409"/>
      <c r="J19" s="409"/>
      <c r="K19" s="409"/>
      <c r="L19" s="409"/>
      <c r="M19" s="406"/>
      <c r="N19" s="409"/>
      <c r="O19" s="409"/>
      <c r="P19" s="409"/>
      <c r="Q19" s="409"/>
      <c r="R19" s="409"/>
      <c r="S19" s="405"/>
      <c r="T19" s="409"/>
      <c r="U19" s="409"/>
      <c r="V19" s="409"/>
      <c r="W19" s="409"/>
      <c r="X19" s="409"/>
      <c r="Y19" s="406"/>
      <c r="Z19" s="409"/>
      <c r="AA19" s="409"/>
      <c r="AB19" s="409"/>
      <c r="AC19" s="409"/>
      <c r="AD19" s="409">
        <f>X19+AD18</f>
        <v>0</v>
      </c>
      <c r="AE19" s="405"/>
      <c r="AF19" s="409"/>
      <c r="AG19" s="409"/>
      <c r="AH19" s="409"/>
      <c r="AI19" s="409"/>
      <c r="AJ19" s="409"/>
      <c r="AK19" s="406"/>
      <c r="AL19" s="409"/>
      <c r="AM19" s="409"/>
      <c r="AN19" s="409"/>
      <c r="AO19" s="409"/>
      <c r="AP19" s="409"/>
      <c r="AQ19" s="405"/>
      <c r="AR19" s="409"/>
      <c r="AS19" s="409"/>
      <c r="AT19" s="409"/>
      <c r="AU19" s="409"/>
      <c r="AV19" s="409"/>
      <c r="AW19" s="406"/>
      <c r="AX19" s="410"/>
      <c r="AY19" s="409"/>
      <c r="AZ19" s="409"/>
      <c r="BA19" s="409"/>
      <c r="BB19" s="409"/>
      <c r="BC19" s="405"/>
      <c r="BD19" s="409"/>
      <c r="BE19" s="409"/>
      <c r="BF19" s="409"/>
      <c r="BG19" s="409"/>
      <c r="BH19" s="409"/>
      <c r="BI19" s="406"/>
      <c r="BJ19" s="409"/>
      <c r="BK19" s="409"/>
      <c r="BL19" s="409"/>
      <c r="BM19" s="409"/>
      <c r="BN19" s="409"/>
      <c r="BO19" s="405"/>
      <c r="BP19" s="409"/>
      <c r="BQ19" s="409"/>
      <c r="BR19" s="409"/>
      <c r="BS19" s="409"/>
      <c r="BT19" s="409"/>
      <c r="BU19" s="406"/>
      <c r="BV19" s="409"/>
    </row>
    <row r="20" spans="1:74" ht="12" customHeight="1" thickBot="1" x14ac:dyDescent="0.25">
      <c r="A20" s="1120" t="s">
        <v>1</v>
      </c>
      <c r="B20" s="1116" t="s">
        <v>39</v>
      </c>
      <c r="C20" s="1116"/>
      <c r="D20" s="1116"/>
      <c r="E20" s="1116"/>
      <c r="F20" s="1115"/>
      <c r="G20" s="838"/>
      <c r="H20" s="1114" t="s">
        <v>40</v>
      </c>
      <c r="I20" s="1114"/>
      <c r="J20" s="1114"/>
      <c r="K20" s="1114"/>
      <c r="L20" s="1114"/>
      <c r="M20" s="411"/>
      <c r="N20" s="1114" t="s">
        <v>41</v>
      </c>
      <c r="O20" s="1114"/>
      <c r="P20" s="1114"/>
      <c r="Q20" s="1114"/>
      <c r="R20" s="1114"/>
      <c r="S20" s="838"/>
      <c r="T20" s="1114" t="s">
        <v>42</v>
      </c>
      <c r="U20" s="1114"/>
      <c r="V20" s="1114"/>
      <c r="W20" s="1114"/>
      <c r="X20" s="1114"/>
      <c r="Y20" s="411"/>
      <c r="Z20" s="1116" t="s">
        <v>43</v>
      </c>
      <c r="AA20" s="1116"/>
      <c r="AB20" s="1116"/>
      <c r="AC20" s="1116"/>
      <c r="AD20" s="1116"/>
      <c r="AE20" s="838"/>
      <c r="AF20" s="1117" t="s">
        <v>44</v>
      </c>
      <c r="AG20" s="1117"/>
      <c r="AH20" s="1117"/>
      <c r="AI20" s="1117"/>
      <c r="AJ20" s="1117"/>
      <c r="AK20" s="411"/>
      <c r="AL20" s="1121" t="s">
        <v>45</v>
      </c>
      <c r="AM20" s="1121"/>
      <c r="AN20" s="1121"/>
      <c r="AO20" s="1121"/>
      <c r="AP20" s="1121"/>
      <c r="AQ20" s="838"/>
      <c r="AR20" s="1114" t="s">
        <v>46</v>
      </c>
      <c r="AS20" s="1114"/>
      <c r="AT20" s="1114"/>
      <c r="AU20" s="1114"/>
      <c r="AV20" s="1114"/>
      <c r="AW20" s="411"/>
      <c r="AX20" s="1118" t="s">
        <v>47</v>
      </c>
      <c r="AY20" s="1118"/>
      <c r="AZ20" s="1118"/>
      <c r="BA20" s="1118"/>
      <c r="BB20" s="1118"/>
      <c r="BC20" s="838"/>
      <c r="BD20" s="1114" t="s">
        <v>48</v>
      </c>
      <c r="BE20" s="1114"/>
      <c r="BF20" s="1114"/>
      <c r="BG20" s="1114"/>
      <c r="BH20" s="1114"/>
      <c r="BI20" s="411"/>
      <c r="BJ20" s="1115" t="s">
        <v>49</v>
      </c>
      <c r="BK20" s="1115"/>
      <c r="BL20" s="1115"/>
      <c r="BM20" s="1115"/>
      <c r="BN20" s="1115"/>
      <c r="BO20" s="838"/>
      <c r="BP20" s="1114" t="s">
        <v>50</v>
      </c>
      <c r="BQ20" s="1114"/>
      <c r="BR20" s="1114"/>
      <c r="BS20" s="1114"/>
      <c r="BT20" s="1114"/>
      <c r="BU20" s="411"/>
    </row>
    <row r="21" spans="1:74" ht="12" customHeight="1" thickBot="1" x14ac:dyDescent="0.25">
      <c r="A21" s="1120"/>
      <c r="B21" s="854" t="s">
        <v>175</v>
      </c>
      <c r="C21" s="855" t="s">
        <v>176</v>
      </c>
      <c r="D21" s="855" t="s">
        <v>35</v>
      </c>
      <c r="E21" s="855" t="s">
        <v>177</v>
      </c>
      <c r="F21" s="861" t="s">
        <v>178</v>
      </c>
      <c r="G21" s="864" t="s">
        <v>34</v>
      </c>
      <c r="H21" s="854" t="s">
        <v>175</v>
      </c>
      <c r="I21" s="858" t="s">
        <v>176</v>
      </c>
      <c r="J21" s="858" t="s">
        <v>35</v>
      </c>
      <c r="K21" s="859" t="s">
        <v>177</v>
      </c>
      <c r="L21" s="860" t="s">
        <v>178</v>
      </c>
      <c r="M21" s="857" t="s">
        <v>34</v>
      </c>
      <c r="N21" s="854" t="s">
        <v>175</v>
      </c>
      <c r="O21" s="858" t="s">
        <v>176</v>
      </c>
      <c r="P21" s="858" t="s">
        <v>35</v>
      </c>
      <c r="Q21" s="859" t="s">
        <v>177</v>
      </c>
      <c r="R21" s="860" t="s">
        <v>178</v>
      </c>
      <c r="S21" s="864" t="s">
        <v>34</v>
      </c>
      <c r="T21" s="854" t="s">
        <v>175</v>
      </c>
      <c r="U21" s="858" t="s">
        <v>176</v>
      </c>
      <c r="V21" s="858" t="s">
        <v>35</v>
      </c>
      <c r="W21" s="859" t="s">
        <v>177</v>
      </c>
      <c r="X21" s="860" t="s">
        <v>178</v>
      </c>
      <c r="Y21" s="857" t="s">
        <v>34</v>
      </c>
      <c r="Z21" s="854" t="s">
        <v>175</v>
      </c>
      <c r="AA21" s="855" t="s">
        <v>176</v>
      </c>
      <c r="AB21" s="855" t="s">
        <v>35</v>
      </c>
      <c r="AC21" s="855" t="s">
        <v>177</v>
      </c>
      <c r="AD21" s="856" t="s">
        <v>178</v>
      </c>
      <c r="AE21" s="864" t="s">
        <v>34</v>
      </c>
      <c r="AF21" s="858" t="s">
        <v>175</v>
      </c>
      <c r="AG21" s="855" t="s">
        <v>176</v>
      </c>
      <c r="AH21" s="855" t="s">
        <v>35</v>
      </c>
      <c r="AI21" s="855" t="s">
        <v>177</v>
      </c>
      <c r="AJ21" s="856" t="s">
        <v>178</v>
      </c>
      <c r="AK21" s="857" t="s">
        <v>34</v>
      </c>
      <c r="AL21" s="858" t="s">
        <v>175</v>
      </c>
      <c r="AM21" s="858" t="s">
        <v>176</v>
      </c>
      <c r="AN21" s="858" t="s">
        <v>35</v>
      </c>
      <c r="AO21" s="859" t="s">
        <v>177</v>
      </c>
      <c r="AP21" s="860" t="s">
        <v>178</v>
      </c>
      <c r="AQ21" s="864" t="s">
        <v>34</v>
      </c>
      <c r="AR21" s="854" t="s">
        <v>175</v>
      </c>
      <c r="AS21" s="858" t="s">
        <v>176</v>
      </c>
      <c r="AT21" s="858" t="s">
        <v>35</v>
      </c>
      <c r="AU21" s="859" t="s">
        <v>177</v>
      </c>
      <c r="AV21" s="860" t="s">
        <v>178</v>
      </c>
      <c r="AW21" s="857" t="s">
        <v>34</v>
      </c>
      <c r="AX21" s="862" t="s">
        <v>175</v>
      </c>
      <c r="AY21" s="858" t="s">
        <v>176</v>
      </c>
      <c r="AZ21" s="858" t="s">
        <v>35</v>
      </c>
      <c r="BA21" s="859" t="s">
        <v>177</v>
      </c>
      <c r="BB21" s="856" t="s">
        <v>178</v>
      </c>
      <c r="BC21" s="864" t="s">
        <v>34</v>
      </c>
      <c r="BD21" s="854" t="s">
        <v>175</v>
      </c>
      <c r="BE21" s="858" t="s">
        <v>176</v>
      </c>
      <c r="BF21" s="858" t="s">
        <v>35</v>
      </c>
      <c r="BG21" s="859" t="s">
        <v>177</v>
      </c>
      <c r="BH21" s="860" t="s">
        <v>178</v>
      </c>
      <c r="BI21" s="857" t="s">
        <v>34</v>
      </c>
      <c r="BJ21" s="854" t="s">
        <v>175</v>
      </c>
      <c r="BK21" s="858" t="s">
        <v>176</v>
      </c>
      <c r="BL21" s="858" t="s">
        <v>35</v>
      </c>
      <c r="BM21" s="859" t="s">
        <v>177</v>
      </c>
      <c r="BN21" s="856" t="s">
        <v>178</v>
      </c>
      <c r="BO21" s="864" t="s">
        <v>34</v>
      </c>
      <c r="BP21" s="854" t="s">
        <v>175</v>
      </c>
      <c r="BQ21" s="858" t="s">
        <v>176</v>
      </c>
      <c r="BR21" s="858" t="s">
        <v>35</v>
      </c>
      <c r="BS21" s="859" t="s">
        <v>177</v>
      </c>
      <c r="BT21" s="860" t="s">
        <v>178</v>
      </c>
      <c r="BU21" s="857" t="s">
        <v>34</v>
      </c>
    </row>
    <row r="22" spans="1:74" ht="12" customHeight="1" thickBot="1" x14ac:dyDescent="0.25">
      <c r="A22" s="1120"/>
      <c r="B22" s="412">
        <v>46024</v>
      </c>
      <c r="C22" s="413" t="s">
        <v>352</v>
      </c>
      <c r="D22" s="878" t="s">
        <v>351</v>
      </c>
      <c r="E22" s="879"/>
      <c r="F22" s="421">
        <v>87</v>
      </c>
      <c r="G22" s="897" t="s">
        <v>350</v>
      </c>
      <c r="H22" s="414">
        <v>46054</v>
      </c>
      <c r="I22" s="415" t="s">
        <v>180</v>
      </c>
      <c r="J22" s="415"/>
      <c r="K22" s="416"/>
      <c r="L22" s="417">
        <v>585.13</v>
      </c>
      <c r="M22" s="947"/>
      <c r="N22" s="950">
        <v>46082</v>
      </c>
      <c r="O22" s="951" t="s">
        <v>180</v>
      </c>
      <c r="P22" s="951"/>
      <c r="Q22" s="952"/>
      <c r="R22" s="953">
        <v>559.1</v>
      </c>
      <c r="S22" s="868"/>
      <c r="T22" s="980">
        <v>46113</v>
      </c>
      <c r="U22" s="981" t="s">
        <v>179</v>
      </c>
      <c r="V22" s="981"/>
      <c r="W22" s="982"/>
      <c r="X22" s="983">
        <v>100</v>
      </c>
      <c r="Y22" s="947" t="s">
        <v>350</v>
      </c>
      <c r="Z22" s="950">
        <v>46143</v>
      </c>
      <c r="AA22" s="994" t="s">
        <v>180</v>
      </c>
      <c r="AB22" s="994"/>
      <c r="AC22" s="994"/>
      <c r="AD22" s="995">
        <v>26.74</v>
      </c>
      <c r="AE22" s="868"/>
      <c r="AF22" s="850">
        <v>46174</v>
      </c>
      <c r="AG22" s="1018" t="s">
        <v>180</v>
      </c>
      <c r="AH22" s="1018"/>
      <c r="AI22" s="1018"/>
      <c r="AJ22" s="1019">
        <v>94.77</v>
      </c>
      <c r="AK22" s="863"/>
      <c r="AL22" s="419">
        <v>46204</v>
      </c>
      <c r="AM22" s="413" t="s">
        <v>180</v>
      </c>
      <c r="AN22" s="413"/>
      <c r="AO22" s="420"/>
      <c r="AP22" s="421">
        <v>109.82</v>
      </c>
      <c r="AQ22" s="897"/>
      <c r="AR22" s="414">
        <v>46235</v>
      </c>
      <c r="AS22" s="415" t="s">
        <v>179</v>
      </c>
      <c r="AT22" s="415"/>
      <c r="AU22" s="416"/>
      <c r="AV22" s="417">
        <v>150</v>
      </c>
      <c r="AW22" s="947" t="s">
        <v>350</v>
      </c>
      <c r="AX22" s="422"/>
      <c r="AY22" s="413"/>
      <c r="AZ22" s="413"/>
      <c r="BA22" s="420"/>
      <c r="BB22" s="421"/>
      <c r="BC22" s="868"/>
      <c r="BD22" s="414"/>
      <c r="BE22" s="415"/>
      <c r="BF22" s="415"/>
      <c r="BG22" s="416"/>
      <c r="BH22" s="417"/>
      <c r="BI22" s="876"/>
      <c r="BJ22" s="412"/>
      <c r="BK22" s="413"/>
      <c r="BL22" s="413"/>
      <c r="BM22" s="420"/>
      <c r="BN22" s="421"/>
      <c r="BO22" s="868"/>
      <c r="BP22" s="414"/>
      <c r="BQ22" s="415"/>
      <c r="BR22" s="415"/>
      <c r="BS22" s="416"/>
      <c r="BT22" s="417"/>
      <c r="BU22" s="876"/>
    </row>
    <row r="23" spans="1:74" ht="12" customHeight="1" thickBot="1" x14ac:dyDescent="0.25">
      <c r="A23" s="1120"/>
      <c r="B23" s="378">
        <v>46025</v>
      </c>
      <c r="C23" s="373" t="s">
        <v>179</v>
      </c>
      <c r="D23" s="880"/>
      <c r="E23" s="881"/>
      <c r="F23" s="375">
        <v>50</v>
      </c>
      <c r="G23" s="869" t="s">
        <v>350</v>
      </c>
      <c r="H23" s="366">
        <v>46054</v>
      </c>
      <c r="I23" s="367" t="s">
        <v>179</v>
      </c>
      <c r="J23" s="367"/>
      <c r="K23" s="368"/>
      <c r="L23" s="369">
        <v>50</v>
      </c>
      <c r="M23" s="457" t="s">
        <v>350</v>
      </c>
      <c r="N23" s="930">
        <v>46085</v>
      </c>
      <c r="O23" s="882" t="s">
        <v>179</v>
      </c>
      <c r="P23" s="882"/>
      <c r="Q23" s="952"/>
      <c r="R23" s="953">
        <v>50</v>
      </c>
      <c r="S23" s="866" t="s">
        <v>350</v>
      </c>
      <c r="T23" s="984">
        <v>46119</v>
      </c>
      <c r="U23" s="942" t="s">
        <v>179</v>
      </c>
      <c r="V23" s="942"/>
      <c r="W23" s="985"/>
      <c r="X23" s="986">
        <v>100</v>
      </c>
      <c r="Y23" s="457" t="s">
        <v>350</v>
      </c>
      <c r="Z23" s="950">
        <v>46143</v>
      </c>
      <c r="AA23" s="994" t="s">
        <v>179</v>
      </c>
      <c r="AB23" s="994"/>
      <c r="AC23" s="994"/>
      <c r="AD23" s="995">
        <v>100</v>
      </c>
      <c r="AE23" s="897" t="s">
        <v>350</v>
      </c>
      <c r="AF23" s="850">
        <v>46174</v>
      </c>
      <c r="AG23" s="1018" t="s">
        <v>180</v>
      </c>
      <c r="AH23" s="1018"/>
      <c r="AI23" s="1018"/>
      <c r="AJ23" s="1019">
        <v>155.28</v>
      </c>
      <c r="AK23" s="863"/>
      <c r="AL23" s="419">
        <v>46206</v>
      </c>
      <c r="AM23" s="413" t="s">
        <v>180</v>
      </c>
      <c r="AN23" s="413"/>
      <c r="AO23" s="420"/>
      <c r="AP23" s="421">
        <v>264.08</v>
      </c>
      <c r="AQ23" s="869"/>
      <c r="AR23" s="366">
        <v>46238</v>
      </c>
      <c r="AS23" s="415" t="s">
        <v>179</v>
      </c>
      <c r="AT23" s="379"/>
      <c r="AU23" s="380"/>
      <c r="AV23" s="369">
        <v>50</v>
      </c>
      <c r="AW23" s="424" t="s">
        <v>350</v>
      </c>
      <c r="AX23" s="427"/>
      <c r="AY23" s="373"/>
      <c r="AZ23" s="373"/>
      <c r="BA23" s="374"/>
      <c r="BB23" s="421"/>
      <c r="BC23" s="866"/>
      <c r="BD23" s="366"/>
      <c r="BE23" s="383"/>
      <c r="BF23" s="379"/>
      <c r="BG23" s="380"/>
      <c r="BH23" s="369"/>
      <c r="BI23" s="424"/>
      <c r="BJ23" s="428"/>
      <c r="BK23" s="413"/>
      <c r="BL23" s="373"/>
      <c r="BM23" s="374"/>
      <c r="BN23" s="421"/>
      <c r="BO23" s="866"/>
      <c r="BP23" s="366"/>
      <c r="BQ23" s="379"/>
      <c r="BR23" s="379"/>
      <c r="BS23" s="380"/>
      <c r="BT23" s="369"/>
      <c r="BU23" s="424"/>
    </row>
    <row r="24" spans="1:74" ht="12" customHeight="1" thickBot="1" x14ac:dyDescent="0.25">
      <c r="A24" s="1120"/>
      <c r="B24" s="378">
        <v>46031</v>
      </c>
      <c r="C24" s="373" t="s">
        <v>179</v>
      </c>
      <c r="D24" s="882"/>
      <c r="E24" s="883"/>
      <c r="F24" s="375">
        <v>100</v>
      </c>
      <c r="G24" s="869" t="s">
        <v>350</v>
      </c>
      <c r="H24" s="737">
        <v>46058</v>
      </c>
      <c r="I24" s="738" t="s">
        <v>179</v>
      </c>
      <c r="J24" s="738"/>
      <c r="K24" s="739"/>
      <c r="L24" s="740">
        <v>50</v>
      </c>
      <c r="M24" s="948" t="s">
        <v>350</v>
      </c>
      <c r="N24" s="930">
        <v>46085</v>
      </c>
      <c r="O24" s="882" t="s">
        <v>424</v>
      </c>
      <c r="P24" s="882"/>
      <c r="Q24" s="952"/>
      <c r="R24" s="953">
        <v>54.45</v>
      </c>
      <c r="S24" s="866" t="s">
        <v>350</v>
      </c>
      <c r="T24" s="984">
        <v>46121</v>
      </c>
      <c r="U24" s="942" t="s">
        <v>447</v>
      </c>
      <c r="V24" s="942"/>
      <c r="W24" s="985"/>
      <c r="X24" s="986">
        <v>88</v>
      </c>
      <c r="Y24" s="457" t="s">
        <v>350</v>
      </c>
      <c r="Z24" s="443">
        <v>46146</v>
      </c>
      <c r="AA24" s="444" t="s">
        <v>352</v>
      </c>
      <c r="AB24" s="444" t="s">
        <v>448</v>
      </c>
      <c r="AC24" s="444"/>
      <c r="AD24" s="445">
        <v>70</v>
      </c>
      <c r="AE24" s="866" t="s">
        <v>350</v>
      </c>
      <c r="AF24" s="425">
        <v>46175</v>
      </c>
      <c r="AG24" s="379" t="s">
        <v>506</v>
      </c>
      <c r="AH24" s="379"/>
      <c r="AI24" s="379"/>
      <c r="AJ24" s="426">
        <v>16.399999999999999</v>
      </c>
      <c r="AK24" s="424" t="s">
        <v>350</v>
      </c>
      <c r="AL24" s="428">
        <v>46209</v>
      </c>
      <c r="AM24" s="373" t="s">
        <v>180</v>
      </c>
      <c r="AN24" s="373"/>
      <c r="AO24" s="374"/>
      <c r="AP24" s="421">
        <v>182.79</v>
      </c>
      <c r="AQ24" s="869"/>
      <c r="AR24" s="366">
        <v>46242</v>
      </c>
      <c r="AS24" s="415" t="s">
        <v>179</v>
      </c>
      <c r="AT24" s="429"/>
      <c r="AU24" s="430"/>
      <c r="AV24" s="369">
        <v>100</v>
      </c>
      <c r="AW24" s="424" t="s">
        <v>350</v>
      </c>
      <c r="AX24" s="427"/>
      <c r="AY24" s="373"/>
      <c r="AZ24" s="373"/>
      <c r="BA24" s="374"/>
      <c r="BB24" s="421"/>
      <c r="BC24" s="866"/>
      <c r="BD24" s="366"/>
      <c r="BE24" s="367"/>
      <c r="BF24" s="429"/>
      <c r="BG24" s="430"/>
      <c r="BH24" s="369"/>
      <c r="BI24" s="424"/>
      <c r="BJ24" s="428"/>
      <c r="BK24" s="373"/>
      <c r="BL24" s="373"/>
      <c r="BM24" s="374"/>
      <c r="BN24" s="421"/>
      <c r="BO24" s="866"/>
      <c r="BP24" s="366"/>
      <c r="BQ24" s="429"/>
      <c r="BR24" s="429"/>
      <c r="BS24" s="430"/>
      <c r="BT24" s="369"/>
      <c r="BU24" s="424"/>
    </row>
    <row r="25" spans="1:74" ht="12" customHeight="1" thickBot="1" x14ac:dyDescent="0.25">
      <c r="A25" s="1120"/>
      <c r="B25" s="378">
        <v>46032</v>
      </c>
      <c r="C25" s="373" t="s">
        <v>180</v>
      </c>
      <c r="D25" s="882"/>
      <c r="E25" s="883"/>
      <c r="F25" s="375">
        <v>271.72000000000003</v>
      </c>
      <c r="G25" s="869"/>
      <c r="H25" s="737">
        <v>46060</v>
      </c>
      <c r="I25" s="738" t="s">
        <v>352</v>
      </c>
      <c r="J25" s="738" t="s">
        <v>402</v>
      </c>
      <c r="K25" s="739"/>
      <c r="L25" s="740">
        <v>4.9000000000000004</v>
      </c>
      <c r="M25" s="948" t="s">
        <v>350</v>
      </c>
      <c r="N25" s="930">
        <v>46086</v>
      </c>
      <c r="O25" s="882" t="s">
        <v>424</v>
      </c>
      <c r="P25" s="882"/>
      <c r="Q25" s="952"/>
      <c r="R25" s="953">
        <v>15.55</v>
      </c>
      <c r="S25" s="866" t="s">
        <v>350</v>
      </c>
      <c r="T25" s="984">
        <v>46122</v>
      </c>
      <c r="U25" s="942" t="s">
        <v>352</v>
      </c>
      <c r="V25" s="942"/>
      <c r="W25" s="985"/>
      <c r="X25" s="986">
        <v>10</v>
      </c>
      <c r="Y25" s="457" t="s">
        <v>350</v>
      </c>
      <c r="Z25" s="443">
        <v>46147</v>
      </c>
      <c r="AA25" s="444" t="s">
        <v>179</v>
      </c>
      <c r="AB25" s="444"/>
      <c r="AC25" s="444"/>
      <c r="AD25" s="445">
        <v>50</v>
      </c>
      <c r="AE25" s="866" t="s">
        <v>350</v>
      </c>
      <c r="AF25" s="425">
        <v>46176</v>
      </c>
      <c r="AG25" s="379" t="s">
        <v>179</v>
      </c>
      <c r="AH25" s="379"/>
      <c r="AI25" s="379"/>
      <c r="AJ25" s="426">
        <v>50</v>
      </c>
      <c r="AK25" s="424" t="s">
        <v>350</v>
      </c>
      <c r="AL25" s="428">
        <v>46213</v>
      </c>
      <c r="AM25" s="373" t="s">
        <v>204</v>
      </c>
      <c r="AN25" s="373" t="s">
        <v>513</v>
      </c>
      <c r="AO25" s="374"/>
      <c r="AP25" s="421">
        <v>646.05999999999995</v>
      </c>
      <c r="AQ25" s="869" t="s">
        <v>350</v>
      </c>
      <c r="AR25" s="366">
        <v>46244</v>
      </c>
      <c r="AS25" s="1111" t="s">
        <v>180</v>
      </c>
      <c r="AT25" s="429"/>
      <c r="AU25" s="430"/>
      <c r="AV25" s="1112">
        <v>122.08</v>
      </c>
      <c r="AW25" s="424"/>
      <c r="AX25" s="427"/>
      <c r="AY25" s="373"/>
      <c r="AZ25" s="373"/>
      <c r="BA25" s="374"/>
      <c r="BB25" s="734"/>
      <c r="BC25" s="866"/>
      <c r="BD25" s="366"/>
      <c r="BF25" s="429"/>
      <c r="BG25" s="430"/>
      <c r="BH25" s="369"/>
      <c r="BI25" s="424"/>
      <c r="BJ25" s="428"/>
      <c r="BK25" s="413"/>
      <c r="BL25" s="373"/>
      <c r="BM25" s="374"/>
      <c r="BN25" s="421"/>
      <c r="BO25" s="866"/>
      <c r="BP25" s="366"/>
      <c r="BQ25" s="429"/>
      <c r="BR25" s="429"/>
      <c r="BS25" s="430"/>
      <c r="BT25" s="369"/>
      <c r="BU25" s="424"/>
    </row>
    <row r="26" spans="1:74" ht="12" customHeight="1" thickBot="1" x14ac:dyDescent="0.25">
      <c r="A26" s="1120"/>
      <c r="B26" s="930">
        <v>46033</v>
      </c>
      <c r="C26" s="882" t="s">
        <v>179</v>
      </c>
      <c r="D26" s="882"/>
      <c r="E26" s="883"/>
      <c r="F26" s="375">
        <v>50</v>
      </c>
      <c r="G26" s="869" t="s">
        <v>350</v>
      </c>
      <c r="H26" s="737">
        <v>46061</v>
      </c>
      <c r="I26" s="738" t="s">
        <v>179</v>
      </c>
      <c r="J26" s="738"/>
      <c r="K26" s="739"/>
      <c r="L26" s="740">
        <v>50</v>
      </c>
      <c r="M26" s="948" t="s">
        <v>350</v>
      </c>
      <c r="N26" s="930">
        <v>46088</v>
      </c>
      <c r="O26" s="882" t="s">
        <v>179</v>
      </c>
      <c r="P26" s="882"/>
      <c r="Q26" s="952"/>
      <c r="R26" s="953">
        <v>120</v>
      </c>
      <c r="S26" s="866" t="s">
        <v>350</v>
      </c>
      <c r="T26" s="984">
        <v>46123</v>
      </c>
      <c r="U26" s="942" t="s">
        <v>440</v>
      </c>
      <c r="V26" s="942"/>
      <c r="W26" s="985"/>
      <c r="X26" s="986">
        <v>50</v>
      </c>
      <c r="Y26" s="457" t="s">
        <v>350</v>
      </c>
      <c r="Z26" s="443">
        <v>46147</v>
      </c>
      <c r="AA26" s="444" t="s">
        <v>352</v>
      </c>
      <c r="AB26" s="444" t="s">
        <v>449</v>
      </c>
      <c r="AC26" s="444"/>
      <c r="AD26" s="445">
        <v>30</v>
      </c>
      <c r="AE26" s="866" t="s">
        <v>350</v>
      </c>
      <c r="AF26" s="370">
        <v>46178</v>
      </c>
      <c r="AG26" s="383" t="s">
        <v>179</v>
      </c>
      <c r="AH26" s="383"/>
      <c r="AI26" s="383"/>
      <c r="AJ26" s="426">
        <v>100</v>
      </c>
      <c r="AK26" s="424" t="s">
        <v>350</v>
      </c>
      <c r="AL26" s="428">
        <v>46214</v>
      </c>
      <c r="AM26" s="373" t="s">
        <v>179</v>
      </c>
      <c r="AN26" s="373"/>
      <c r="AO26" s="374"/>
      <c r="AP26" s="421">
        <v>100</v>
      </c>
      <c r="AQ26" s="869" t="s">
        <v>350</v>
      </c>
      <c r="AR26" s="366">
        <v>46244</v>
      </c>
      <c r="AS26" s="415" t="s">
        <v>179</v>
      </c>
      <c r="AT26" s="429"/>
      <c r="AU26" s="430"/>
      <c r="AV26" s="369">
        <v>50</v>
      </c>
      <c r="AW26" s="424" t="s">
        <v>350</v>
      </c>
      <c r="AX26" s="427"/>
      <c r="AY26" s="373"/>
      <c r="AZ26" s="373"/>
      <c r="BA26" s="374"/>
      <c r="BB26" s="734"/>
      <c r="BC26" s="866"/>
      <c r="BD26" s="366"/>
      <c r="BE26" s="367"/>
      <c r="BF26" s="429"/>
      <c r="BG26" s="430"/>
      <c r="BH26" s="369"/>
      <c r="BI26" s="424"/>
      <c r="BJ26" s="428"/>
      <c r="BK26" s="413"/>
      <c r="BL26" s="373"/>
      <c r="BM26" s="374"/>
      <c r="BN26" s="421"/>
      <c r="BO26" s="866"/>
      <c r="BP26" s="366"/>
      <c r="BQ26" s="429"/>
      <c r="BR26" s="429"/>
      <c r="BS26" s="430"/>
      <c r="BT26" s="369"/>
      <c r="BU26" s="424"/>
    </row>
    <row r="27" spans="1:74" ht="12" customHeight="1" thickBot="1" x14ac:dyDescent="0.25">
      <c r="A27" s="1120"/>
      <c r="B27" s="928">
        <v>46039</v>
      </c>
      <c r="C27" s="884" t="s">
        <v>179</v>
      </c>
      <c r="D27" s="884"/>
      <c r="E27" s="885"/>
      <c r="F27" s="375">
        <v>100</v>
      </c>
      <c r="G27" s="869" t="s">
        <v>350</v>
      </c>
      <c r="H27" s="737">
        <v>46064</v>
      </c>
      <c r="I27" s="738" t="s">
        <v>179</v>
      </c>
      <c r="J27" s="735"/>
      <c r="K27" s="736"/>
      <c r="L27" s="740">
        <v>300</v>
      </c>
      <c r="M27" s="948" t="s">
        <v>350</v>
      </c>
      <c r="N27" s="930">
        <v>46090</v>
      </c>
      <c r="O27" s="882" t="s">
        <v>179</v>
      </c>
      <c r="P27" s="882"/>
      <c r="Q27" s="952"/>
      <c r="R27" s="953">
        <v>50</v>
      </c>
      <c r="S27" s="866" t="s">
        <v>350</v>
      </c>
      <c r="T27" s="984">
        <v>46125</v>
      </c>
      <c r="U27" s="942" t="s">
        <v>179</v>
      </c>
      <c r="V27" s="942"/>
      <c r="W27" s="985"/>
      <c r="X27" s="986">
        <v>50</v>
      </c>
      <c r="Y27" s="457" t="s">
        <v>350</v>
      </c>
      <c r="Z27" s="443">
        <v>46149</v>
      </c>
      <c r="AA27" s="444" t="s">
        <v>179</v>
      </c>
      <c r="AB27" s="444"/>
      <c r="AC27" s="444"/>
      <c r="AD27" s="445">
        <v>50</v>
      </c>
      <c r="AE27" s="866" t="s">
        <v>350</v>
      </c>
      <c r="AF27" s="425">
        <v>46181</v>
      </c>
      <c r="AG27" s="379" t="s">
        <v>179</v>
      </c>
      <c r="AH27" s="379"/>
      <c r="AI27" s="379"/>
      <c r="AJ27" s="426">
        <v>50</v>
      </c>
      <c r="AK27" s="424" t="s">
        <v>350</v>
      </c>
      <c r="AL27" s="428">
        <v>46217</v>
      </c>
      <c r="AM27" s="373" t="s">
        <v>179</v>
      </c>
      <c r="AN27" s="373"/>
      <c r="AO27" s="374"/>
      <c r="AP27" s="421">
        <v>50</v>
      </c>
      <c r="AQ27" s="869" t="s">
        <v>350</v>
      </c>
      <c r="AR27" s="366">
        <v>46248</v>
      </c>
      <c r="AS27" s="415" t="s">
        <v>179</v>
      </c>
      <c r="AT27" s="429"/>
      <c r="AU27" s="430"/>
      <c r="AV27" s="369">
        <v>50</v>
      </c>
      <c r="AW27" s="424" t="s">
        <v>350</v>
      </c>
      <c r="AX27" s="427"/>
      <c r="AY27" s="373"/>
      <c r="AZ27" s="373"/>
      <c r="BA27" s="374"/>
      <c r="BB27" s="734"/>
      <c r="BC27" s="866"/>
      <c r="BD27" s="366"/>
      <c r="BE27" s="367"/>
      <c r="BF27" s="429"/>
      <c r="BG27" s="430"/>
      <c r="BH27" s="369"/>
      <c r="BI27" s="424"/>
      <c r="BJ27" s="428"/>
      <c r="BK27" s="373"/>
      <c r="BL27" s="373"/>
      <c r="BM27" s="374"/>
      <c r="BN27" s="421"/>
      <c r="BO27" s="866"/>
      <c r="BP27" s="366"/>
      <c r="BQ27" s="429"/>
      <c r="BR27" s="429"/>
      <c r="BS27" s="430"/>
      <c r="BT27" s="369"/>
      <c r="BU27" s="424"/>
    </row>
    <row r="28" spans="1:74" ht="12" customHeight="1" thickBot="1" x14ac:dyDescent="0.25">
      <c r="A28" s="1120"/>
      <c r="B28" s="928">
        <v>46040</v>
      </c>
      <c r="C28" s="884" t="s">
        <v>179</v>
      </c>
      <c r="D28" s="884"/>
      <c r="E28" s="885"/>
      <c r="F28" s="375">
        <v>50</v>
      </c>
      <c r="G28" s="869" t="s">
        <v>350</v>
      </c>
      <c r="H28" s="737">
        <v>46068</v>
      </c>
      <c r="I28" s="738" t="s">
        <v>417</v>
      </c>
      <c r="J28" s="735"/>
      <c r="K28" s="736"/>
      <c r="L28" s="740">
        <v>12.9</v>
      </c>
      <c r="M28" s="948" t="s">
        <v>350</v>
      </c>
      <c r="N28" s="930">
        <v>46091</v>
      </c>
      <c r="O28" s="882" t="s">
        <v>425</v>
      </c>
      <c r="P28" s="882"/>
      <c r="Q28" s="952"/>
      <c r="R28" s="953">
        <v>-3</v>
      </c>
      <c r="S28" s="866" t="s">
        <v>350</v>
      </c>
      <c r="T28" s="452">
        <v>46126</v>
      </c>
      <c r="U28" s="453" t="s">
        <v>352</v>
      </c>
      <c r="V28" s="453"/>
      <c r="W28" s="454"/>
      <c r="X28" s="455">
        <v>8</v>
      </c>
      <c r="Y28" s="457" t="s">
        <v>350</v>
      </c>
      <c r="Z28" s="443">
        <v>46149</v>
      </c>
      <c r="AA28" s="444" t="s">
        <v>352</v>
      </c>
      <c r="AB28" s="444" t="s">
        <v>450</v>
      </c>
      <c r="AC28" s="444"/>
      <c r="AD28" s="445">
        <v>-12</v>
      </c>
      <c r="AE28" s="866" t="s">
        <v>350</v>
      </c>
      <c r="AF28" s="425">
        <v>46185</v>
      </c>
      <c r="AG28" s="379" t="s">
        <v>179</v>
      </c>
      <c r="AH28" s="379"/>
      <c r="AI28" s="379"/>
      <c r="AJ28" s="426">
        <v>50</v>
      </c>
      <c r="AK28" s="424" t="s">
        <v>350</v>
      </c>
      <c r="AL28" s="428">
        <v>46222</v>
      </c>
      <c r="AM28" s="373" t="s">
        <v>521</v>
      </c>
      <c r="AN28" s="373"/>
      <c r="AO28" s="374"/>
      <c r="AP28" s="421">
        <v>60</v>
      </c>
      <c r="AQ28" s="869" t="s">
        <v>350</v>
      </c>
      <c r="AR28" s="366">
        <v>46250</v>
      </c>
      <c r="AS28" s="1111" t="s">
        <v>180</v>
      </c>
      <c r="AT28" s="429"/>
      <c r="AU28" s="430"/>
      <c r="AV28" s="1112">
        <v>133.22</v>
      </c>
      <c r="AW28" s="457"/>
      <c r="AX28" s="427"/>
      <c r="AY28" s="373"/>
      <c r="AZ28" s="373"/>
      <c r="BA28" s="374"/>
      <c r="BB28" s="734"/>
      <c r="BC28" s="866"/>
      <c r="BD28" s="366"/>
      <c r="BE28" s="367"/>
      <c r="BF28" s="429"/>
      <c r="BG28" s="430"/>
      <c r="BH28" s="369"/>
      <c r="BI28" s="424"/>
      <c r="BJ28" s="428"/>
      <c r="BK28" s="373"/>
      <c r="BL28" s="373"/>
      <c r="BM28" s="374"/>
      <c r="BN28" s="421"/>
      <c r="BO28" s="866"/>
      <c r="BP28" s="366"/>
      <c r="BQ28" s="429"/>
      <c r="BR28" s="429"/>
      <c r="BS28" s="430"/>
      <c r="BT28" s="369"/>
      <c r="BU28" s="424"/>
    </row>
    <row r="29" spans="1:74" ht="12" customHeight="1" thickBot="1" x14ac:dyDescent="0.25">
      <c r="A29" s="1120"/>
      <c r="B29" s="928">
        <v>46041</v>
      </c>
      <c r="C29" s="884" t="s">
        <v>374</v>
      </c>
      <c r="D29" s="884" t="s">
        <v>375</v>
      </c>
      <c r="E29" s="885"/>
      <c r="F29" s="375">
        <v>10</v>
      </c>
      <c r="G29" s="869" t="s">
        <v>350</v>
      </c>
      <c r="H29" s="737">
        <v>46070</v>
      </c>
      <c r="I29" s="738" t="s">
        <v>179</v>
      </c>
      <c r="J29" s="735"/>
      <c r="K29" s="736"/>
      <c r="L29" s="740">
        <v>40</v>
      </c>
      <c r="M29" s="948" t="s">
        <v>350</v>
      </c>
      <c r="N29" s="930">
        <v>46093</v>
      </c>
      <c r="O29" s="882" t="s">
        <v>424</v>
      </c>
      <c r="P29" s="882"/>
      <c r="Q29" s="952"/>
      <c r="R29" s="953">
        <v>17</v>
      </c>
      <c r="S29" s="866" t="s">
        <v>350</v>
      </c>
      <c r="T29" s="452">
        <v>46129</v>
      </c>
      <c r="U29" s="453" t="s">
        <v>179</v>
      </c>
      <c r="V29" s="453"/>
      <c r="W29" s="454"/>
      <c r="X29" s="455">
        <v>100</v>
      </c>
      <c r="Y29" s="457" t="s">
        <v>350</v>
      </c>
      <c r="Z29" s="443">
        <v>46150</v>
      </c>
      <c r="AA29" s="444" t="s">
        <v>451</v>
      </c>
      <c r="AB29" s="444" t="s">
        <v>452</v>
      </c>
      <c r="AC29" s="444"/>
      <c r="AD29" s="445">
        <v>549.95000000000005</v>
      </c>
      <c r="AE29" s="866" t="s">
        <v>350</v>
      </c>
      <c r="AF29" s="425">
        <v>46186</v>
      </c>
      <c r="AG29" s="379" t="s">
        <v>179</v>
      </c>
      <c r="AH29" s="379"/>
      <c r="AI29" s="379"/>
      <c r="AJ29" s="426">
        <v>100</v>
      </c>
      <c r="AK29" s="424" t="s">
        <v>350</v>
      </c>
      <c r="AL29" s="428">
        <v>46222</v>
      </c>
      <c r="AM29" s="373" t="s">
        <v>180</v>
      </c>
      <c r="AN29" s="373"/>
      <c r="AO29" s="374"/>
      <c r="AP29" s="421">
        <v>343.96</v>
      </c>
      <c r="AQ29" s="869"/>
      <c r="AR29" s="366">
        <v>46251</v>
      </c>
      <c r="AS29" s="415" t="s">
        <v>179</v>
      </c>
      <c r="AT29" s="429"/>
      <c r="AU29" s="430"/>
      <c r="AV29" s="369">
        <v>50</v>
      </c>
      <c r="AW29" s="457" t="s">
        <v>350</v>
      </c>
      <c r="AX29" s="446"/>
      <c r="AY29" s="373"/>
      <c r="AZ29" s="373"/>
      <c r="BA29" s="374"/>
      <c r="BB29" s="734"/>
      <c r="BC29" s="866"/>
      <c r="BD29" s="366"/>
      <c r="BE29" s="367"/>
      <c r="BF29" s="367"/>
      <c r="BG29" s="368"/>
      <c r="BH29" s="369"/>
      <c r="BI29" s="424"/>
      <c r="BJ29" s="378"/>
      <c r="BK29" s="373"/>
      <c r="BL29" s="373"/>
      <c r="BM29" s="374"/>
      <c r="BN29" s="421"/>
      <c r="BO29" s="866"/>
      <c r="BP29" s="376"/>
      <c r="BQ29" s="367"/>
      <c r="BR29" s="367"/>
      <c r="BS29" s="368"/>
      <c r="BT29" s="369"/>
      <c r="BU29" s="424"/>
    </row>
    <row r="30" spans="1:74" ht="12" customHeight="1" thickBot="1" x14ac:dyDescent="0.25">
      <c r="A30" s="1120"/>
      <c r="B30" s="928">
        <v>46042</v>
      </c>
      <c r="C30" s="884" t="s">
        <v>371</v>
      </c>
      <c r="D30" s="884"/>
      <c r="E30" s="885"/>
      <c r="F30" s="375">
        <v>-140</v>
      </c>
      <c r="G30" s="869" t="s">
        <v>350</v>
      </c>
      <c r="H30" s="737">
        <v>46077</v>
      </c>
      <c r="I30" s="738" t="s">
        <v>418</v>
      </c>
      <c r="J30" s="743"/>
      <c r="K30" s="744"/>
      <c r="L30" s="740">
        <v>5.45</v>
      </c>
      <c r="M30" s="948" t="s">
        <v>350</v>
      </c>
      <c r="N30" s="930">
        <v>46094</v>
      </c>
      <c r="O30" s="882" t="s">
        <v>179</v>
      </c>
      <c r="P30" s="882"/>
      <c r="Q30" s="952"/>
      <c r="R30" s="953">
        <v>100</v>
      </c>
      <c r="S30" s="866" t="s">
        <v>350</v>
      </c>
      <c r="T30" s="452">
        <v>46131</v>
      </c>
      <c r="U30" s="453" t="s">
        <v>179</v>
      </c>
      <c r="V30" s="453"/>
      <c r="W30" s="454"/>
      <c r="X30" s="455">
        <v>100</v>
      </c>
      <c r="Y30" s="457" t="s">
        <v>350</v>
      </c>
      <c r="Z30" s="443">
        <v>46150</v>
      </c>
      <c r="AA30" s="444" t="s">
        <v>179</v>
      </c>
      <c r="AB30" s="444"/>
      <c r="AC30" s="444"/>
      <c r="AD30" s="445">
        <v>50</v>
      </c>
      <c r="AE30" s="869" t="s">
        <v>350</v>
      </c>
      <c r="AF30" s="370">
        <v>46189</v>
      </c>
      <c r="AG30" s="379" t="s">
        <v>179</v>
      </c>
      <c r="AH30" s="383"/>
      <c r="AI30" s="383"/>
      <c r="AJ30" s="426">
        <v>100</v>
      </c>
      <c r="AK30" s="424" t="s">
        <v>350</v>
      </c>
      <c r="AL30" s="428">
        <v>46224</v>
      </c>
      <c r="AM30" s="373" t="s">
        <v>179</v>
      </c>
      <c r="AN30" s="373"/>
      <c r="AO30" s="374"/>
      <c r="AP30" s="421">
        <v>50</v>
      </c>
      <c r="AQ30" s="869" t="s">
        <v>350</v>
      </c>
      <c r="AR30" s="366">
        <v>46252</v>
      </c>
      <c r="AS30" s="415" t="s">
        <v>179</v>
      </c>
      <c r="AT30" s="367"/>
      <c r="AU30" s="368"/>
      <c r="AV30" s="369">
        <v>50</v>
      </c>
      <c r="AW30" s="457" t="s">
        <v>350</v>
      </c>
      <c r="AX30" s="447"/>
      <c r="AY30" s="439"/>
      <c r="AZ30" s="439"/>
      <c r="BA30" s="440"/>
      <c r="BB30" s="734"/>
      <c r="BC30" s="869"/>
      <c r="BD30" s="432"/>
      <c r="BE30" s="433"/>
      <c r="BF30" s="433"/>
      <c r="BG30" s="434"/>
      <c r="BH30" s="435"/>
      <c r="BI30" s="424"/>
      <c r="BJ30" s="438"/>
      <c r="BK30" s="439"/>
      <c r="BL30" s="439"/>
      <c r="BM30" s="440"/>
      <c r="BN30" s="421"/>
      <c r="BO30" s="869"/>
      <c r="BP30" s="448"/>
      <c r="BQ30" s="433"/>
      <c r="BR30" s="433"/>
      <c r="BS30" s="434"/>
      <c r="BT30" s="435"/>
      <c r="BU30" s="424"/>
    </row>
    <row r="31" spans="1:74" ht="12" customHeight="1" thickBot="1" x14ac:dyDescent="0.25">
      <c r="A31" s="1120"/>
      <c r="B31" s="928">
        <v>46050</v>
      </c>
      <c r="C31" s="884" t="s">
        <v>179</v>
      </c>
      <c r="D31" s="884"/>
      <c r="E31" s="885"/>
      <c r="F31" s="375">
        <v>50</v>
      </c>
      <c r="G31" s="869" t="s">
        <v>350</v>
      </c>
      <c r="H31" s="737">
        <v>46080</v>
      </c>
      <c r="I31" s="738" t="s">
        <v>179</v>
      </c>
      <c r="J31" s="743"/>
      <c r="K31" s="744"/>
      <c r="L31" s="740">
        <v>50</v>
      </c>
      <c r="M31" s="948" t="s">
        <v>350</v>
      </c>
      <c r="N31" s="930">
        <v>46068</v>
      </c>
      <c r="O31" s="882" t="s">
        <v>180</v>
      </c>
      <c r="P31" s="882"/>
      <c r="Q31" s="952"/>
      <c r="R31" s="953">
        <v>566.11</v>
      </c>
      <c r="S31" s="866"/>
      <c r="T31" s="452">
        <v>46134</v>
      </c>
      <c r="U31" s="453" t="s">
        <v>352</v>
      </c>
      <c r="V31" s="453"/>
      <c r="W31" s="454"/>
      <c r="X31" s="455">
        <v>18</v>
      </c>
      <c r="Y31" s="457" t="s">
        <v>350</v>
      </c>
      <c r="Z31" s="443">
        <v>46154</v>
      </c>
      <c r="AA31" s="444" t="s">
        <v>352</v>
      </c>
      <c r="AB31" s="444" t="s">
        <v>463</v>
      </c>
      <c r="AC31" s="444"/>
      <c r="AD31" s="445">
        <v>15</v>
      </c>
      <c r="AE31" s="866" t="s">
        <v>350</v>
      </c>
      <c r="AF31" s="370">
        <v>46191</v>
      </c>
      <c r="AG31" s="379" t="s">
        <v>451</v>
      </c>
      <c r="AH31" s="383"/>
      <c r="AI31" s="383"/>
      <c r="AJ31" s="426">
        <v>50</v>
      </c>
      <c r="AK31" s="424" t="s">
        <v>350</v>
      </c>
      <c r="AL31" s="451">
        <v>46230</v>
      </c>
      <c r="AM31" s="439" t="s">
        <v>180</v>
      </c>
      <c r="AN31" s="439"/>
      <c r="AO31" s="440"/>
      <c r="AP31" s="421">
        <v>25.13</v>
      </c>
      <c r="AQ31" s="869"/>
      <c r="AR31" s="432">
        <v>46255</v>
      </c>
      <c r="AS31" s="1111" t="s">
        <v>180</v>
      </c>
      <c r="AT31" s="433"/>
      <c r="AU31" s="434"/>
      <c r="AV31" s="1113">
        <v>168.92</v>
      </c>
      <c r="AW31" s="457"/>
      <c r="AX31" s="427"/>
      <c r="AY31" s="373"/>
      <c r="AZ31" s="373"/>
      <c r="BA31" s="374"/>
      <c r="BB31" s="734"/>
      <c r="BC31" s="866"/>
      <c r="BD31" s="432"/>
      <c r="BE31" s="433"/>
      <c r="BF31" s="433"/>
      <c r="BG31" s="434"/>
      <c r="BH31" s="435"/>
      <c r="BI31" s="424"/>
      <c r="BJ31" s="438"/>
      <c r="BK31" s="439"/>
      <c r="BL31" s="439"/>
      <c r="BM31" s="440"/>
      <c r="BN31" s="421"/>
      <c r="BO31" s="866"/>
      <c r="BP31" s="448"/>
      <c r="BQ31" s="433"/>
      <c r="BR31" s="433"/>
      <c r="BS31" s="434"/>
      <c r="BT31" s="435"/>
      <c r="BU31" s="424"/>
    </row>
    <row r="32" spans="1:74" ht="12" customHeight="1" thickBot="1" x14ac:dyDescent="0.25">
      <c r="A32" s="1120"/>
      <c r="B32" s="928"/>
      <c r="C32" s="884"/>
      <c r="D32" s="884"/>
      <c r="E32" s="885"/>
      <c r="F32" s="375"/>
      <c r="G32" s="869"/>
      <c r="H32" s="737">
        <v>46081</v>
      </c>
      <c r="I32" s="738" t="s">
        <v>419</v>
      </c>
      <c r="J32" s="743"/>
      <c r="K32" s="744"/>
      <c r="L32" s="740">
        <v>20</v>
      </c>
      <c r="M32" s="948" t="s">
        <v>350</v>
      </c>
      <c r="N32" s="930">
        <v>46097</v>
      </c>
      <c r="O32" s="882" t="s">
        <v>179</v>
      </c>
      <c r="P32" s="882"/>
      <c r="Q32" s="952"/>
      <c r="R32" s="953">
        <v>50</v>
      </c>
      <c r="S32" s="866" t="s">
        <v>350</v>
      </c>
      <c r="T32" s="452">
        <v>46135</v>
      </c>
      <c r="U32" s="453" t="s">
        <v>352</v>
      </c>
      <c r="V32" s="453" t="s">
        <v>443</v>
      </c>
      <c r="W32" s="454"/>
      <c r="X32" s="455">
        <v>100</v>
      </c>
      <c r="Y32" s="457" t="s">
        <v>350</v>
      </c>
      <c r="Z32" s="443">
        <v>46154</v>
      </c>
      <c r="AA32" s="444" t="s">
        <v>352</v>
      </c>
      <c r="AB32" s="444" t="s">
        <v>464</v>
      </c>
      <c r="AC32" s="444"/>
      <c r="AD32" s="445">
        <v>54</v>
      </c>
      <c r="AE32" s="869" t="s">
        <v>350</v>
      </c>
      <c r="AF32" s="370">
        <v>46193</v>
      </c>
      <c r="AG32" s="379" t="s">
        <v>179</v>
      </c>
      <c r="AH32" s="383"/>
      <c r="AI32" s="383"/>
      <c r="AJ32" s="426">
        <v>50</v>
      </c>
      <c r="AK32" s="424" t="s">
        <v>350</v>
      </c>
      <c r="AL32" s="451">
        <v>46232</v>
      </c>
      <c r="AM32" s="439" t="s">
        <v>179</v>
      </c>
      <c r="AN32" s="439"/>
      <c r="AO32" s="440"/>
      <c r="AP32" s="421">
        <v>30</v>
      </c>
      <c r="AQ32" s="869" t="s">
        <v>350</v>
      </c>
      <c r="AR32" s="432">
        <v>46255</v>
      </c>
      <c r="AS32" s="415" t="s">
        <v>179</v>
      </c>
      <c r="AT32" s="433"/>
      <c r="AU32" s="434"/>
      <c r="AV32" s="435">
        <v>100</v>
      </c>
      <c r="AW32" s="457" t="s">
        <v>350</v>
      </c>
      <c r="AX32" s="447"/>
      <c r="AY32" s="439"/>
      <c r="AZ32" s="439"/>
      <c r="BA32" s="440"/>
      <c r="BB32" s="734"/>
      <c r="BC32" s="870"/>
      <c r="BD32" s="432"/>
      <c r="BE32" s="433"/>
      <c r="BF32" s="433"/>
      <c r="BG32" s="434"/>
      <c r="BH32" s="435"/>
      <c r="BI32" s="424"/>
      <c r="BJ32" s="438"/>
      <c r="BK32" s="439"/>
      <c r="BL32" s="439"/>
      <c r="BM32" s="440"/>
      <c r="BN32" s="421"/>
      <c r="BO32" s="870"/>
      <c r="BP32" s="448"/>
      <c r="BQ32" s="433"/>
      <c r="BR32" s="433"/>
      <c r="BS32" s="434"/>
      <c r="BT32" s="435"/>
      <c r="BU32" s="424"/>
    </row>
    <row r="33" spans="1:73" ht="12" customHeight="1" thickBot="1" x14ac:dyDescent="0.25">
      <c r="A33" s="1120"/>
      <c r="B33" s="928"/>
      <c r="C33" s="884"/>
      <c r="D33" s="884"/>
      <c r="E33" s="885"/>
      <c r="F33" s="929"/>
      <c r="G33" s="869"/>
      <c r="H33" s="737">
        <v>46081</v>
      </c>
      <c r="I33" s="738" t="s">
        <v>179</v>
      </c>
      <c r="J33" s="743"/>
      <c r="K33" s="744"/>
      <c r="L33" s="740">
        <v>100</v>
      </c>
      <c r="M33" s="948" t="s">
        <v>350</v>
      </c>
      <c r="N33" s="930">
        <v>46099</v>
      </c>
      <c r="O33" s="882" t="s">
        <v>179</v>
      </c>
      <c r="P33" s="882"/>
      <c r="Q33" s="952"/>
      <c r="R33" s="953">
        <v>250</v>
      </c>
      <c r="S33" s="866" t="s">
        <v>350</v>
      </c>
      <c r="T33" s="452">
        <v>46135</v>
      </c>
      <c r="U33" s="453" t="s">
        <v>352</v>
      </c>
      <c r="V33" s="453" t="s">
        <v>443</v>
      </c>
      <c r="W33" s="454"/>
      <c r="X33" s="455">
        <v>100</v>
      </c>
      <c r="Y33" s="457" t="s">
        <v>350</v>
      </c>
      <c r="Z33" s="443">
        <v>46157</v>
      </c>
      <c r="AA33" s="444" t="s">
        <v>179</v>
      </c>
      <c r="AB33" s="444"/>
      <c r="AC33" s="444"/>
      <c r="AD33" s="445">
        <v>50</v>
      </c>
      <c r="AE33" s="866" t="s">
        <v>350</v>
      </c>
      <c r="AF33" s="370">
        <v>46196</v>
      </c>
      <c r="AG33" s="379" t="s">
        <v>352</v>
      </c>
      <c r="AH33" s="383" t="s">
        <v>382</v>
      </c>
      <c r="AI33" s="383"/>
      <c r="AJ33" s="426">
        <v>3.4</v>
      </c>
      <c r="AK33" s="424" t="s">
        <v>350</v>
      </c>
      <c r="AL33" s="451">
        <v>46233</v>
      </c>
      <c r="AM33" s="439" t="s">
        <v>180</v>
      </c>
      <c r="AN33" s="439"/>
      <c r="AO33" s="440"/>
      <c r="AP33" s="421">
        <v>54.99</v>
      </c>
      <c r="AQ33" s="869"/>
      <c r="AR33" s="432">
        <v>46255</v>
      </c>
      <c r="AS33" s="1111" t="s">
        <v>180</v>
      </c>
      <c r="AT33" s="433"/>
      <c r="AU33" s="434"/>
      <c r="AV33" s="1113">
        <v>35.65</v>
      </c>
      <c r="AW33" s="457"/>
      <c r="AX33" s="447"/>
      <c r="AY33" s="439"/>
      <c r="AZ33" s="439"/>
      <c r="BA33" s="440"/>
      <c r="BB33" s="734"/>
      <c r="BC33" s="866"/>
      <c r="BD33" s="432"/>
      <c r="BE33" s="367"/>
      <c r="BF33" s="433"/>
      <c r="BG33" s="434"/>
      <c r="BH33" s="435"/>
      <c r="BI33" s="457"/>
      <c r="BJ33" s="438"/>
      <c r="BK33" s="439"/>
      <c r="BL33" s="439"/>
      <c r="BM33" s="440"/>
      <c r="BN33" s="421"/>
      <c r="BO33" s="866"/>
      <c r="BP33" s="448"/>
      <c r="BQ33" s="433"/>
      <c r="BR33" s="433"/>
      <c r="BS33" s="434"/>
      <c r="BT33" s="435"/>
      <c r="BU33" s="457"/>
    </row>
    <row r="34" spans="1:73" ht="12" customHeight="1" thickBot="1" x14ac:dyDescent="0.25">
      <c r="A34" s="1120"/>
      <c r="B34" s="928"/>
      <c r="C34" s="884"/>
      <c r="D34" s="884"/>
      <c r="E34" s="885"/>
      <c r="F34" s="929"/>
      <c r="G34" s="869"/>
      <c r="H34" s="737">
        <v>46081</v>
      </c>
      <c r="I34" s="972" t="s">
        <v>352</v>
      </c>
      <c r="J34" s="749"/>
      <c r="K34" s="750"/>
      <c r="L34" s="740">
        <v>82</v>
      </c>
      <c r="M34" s="948" t="s">
        <v>350</v>
      </c>
      <c r="N34" s="930">
        <v>46104</v>
      </c>
      <c r="O34" s="882" t="s">
        <v>426</v>
      </c>
      <c r="P34" s="882"/>
      <c r="Q34" s="952"/>
      <c r="R34" s="953">
        <v>20</v>
      </c>
      <c r="S34" s="869" t="s">
        <v>350</v>
      </c>
      <c r="T34" s="452">
        <v>46136</v>
      </c>
      <c r="U34" s="453" t="s">
        <v>179</v>
      </c>
      <c r="V34" s="453"/>
      <c r="W34" s="454"/>
      <c r="X34" s="455">
        <v>50</v>
      </c>
      <c r="Y34" s="457" t="s">
        <v>350</v>
      </c>
      <c r="Z34" s="443">
        <v>46158</v>
      </c>
      <c r="AA34" s="444" t="s">
        <v>180</v>
      </c>
      <c r="AB34" s="444"/>
      <c r="AC34" s="444"/>
      <c r="AD34" s="445">
        <v>446.76</v>
      </c>
      <c r="AE34" s="866"/>
      <c r="AF34" s="370">
        <v>46196</v>
      </c>
      <c r="AG34" s="383" t="s">
        <v>352</v>
      </c>
      <c r="AH34" s="383" t="s">
        <v>496</v>
      </c>
      <c r="AI34" s="383"/>
      <c r="AJ34" s="426">
        <v>-155</v>
      </c>
      <c r="AK34" s="457" t="s">
        <v>350</v>
      </c>
      <c r="AL34" s="451">
        <v>46234</v>
      </c>
      <c r="AM34" s="439" t="s">
        <v>180</v>
      </c>
      <c r="AN34" s="439"/>
      <c r="AO34" s="440"/>
      <c r="AP34" s="421">
        <v>31.9</v>
      </c>
      <c r="AQ34" s="869"/>
      <c r="AR34" s="432">
        <v>46255</v>
      </c>
      <c r="AS34" s="415" t="s">
        <v>563</v>
      </c>
      <c r="AT34" s="433"/>
      <c r="AU34" s="434"/>
      <c r="AV34" s="435">
        <v>-18.989999999999998</v>
      </c>
      <c r="AW34" s="457" t="s">
        <v>350</v>
      </c>
      <c r="AX34" s="427"/>
      <c r="AY34" s="373"/>
      <c r="AZ34" s="373"/>
      <c r="BA34" s="374"/>
      <c r="BB34" s="734"/>
      <c r="BC34" s="866"/>
      <c r="BD34" s="448"/>
      <c r="BE34" s="433"/>
      <c r="BF34" s="433"/>
      <c r="BG34" s="434"/>
      <c r="BH34" s="435"/>
      <c r="BI34" s="424"/>
      <c r="BJ34" s="438"/>
      <c r="BK34" s="439"/>
      <c r="BL34" s="439"/>
      <c r="BM34" s="440"/>
      <c r="BN34" s="421"/>
      <c r="BO34" s="866"/>
      <c r="BP34" s="448"/>
      <c r="BQ34" s="433"/>
      <c r="BR34" s="433"/>
      <c r="BS34" s="434"/>
      <c r="BT34" s="435"/>
      <c r="BU34" s="424"/>
    </row>
    <row r="35" spans="1:73" ht="12" customHeight="1" thickBot="1" x14ac:dyDescent="0.25">
      <c r="A35" s="1120"/>
      <c r="B35" s="928"/>
      <c r="C35" s="884"/>
      <c r="D35" s="884"/>
      <c r="E35" s="885"/>
      <c r="F35" s="929"/>
      <c r="G35" s="869"/>
      <c r="H35" s="737"/>
      <c r="I35" s="738"/>
      <c r="J35" s="743"/>
      <c r="K35" s="744"/>
      <c r="L35" s="740"/>
      <c r="M35" s="948"/>
      <c r="N35" s="930">
        <v>46105</v>
      </c>
      <c r="O35" s="882" t="s">
        <v>179</v>
      </c>
      <c r="P35" s="882"/>
      <c r="Q35" s="952"/>
      <c r="R35" s="953">
        <v>100</v>
      </c>
      <c r="S35" s="869" t="s">
        <v>350</v>
      </c>
      <c r="T35" s="452">
        <v>46137</v>
      </c>
      <c r="U35" s="453" t="s">
        <v>444</v>
      </c>
      <c r="V35" s="453"/>
      <c r="W35" s="454"/>
      <c r="X35" s="455">
        <v>10.8</v>
      </c>
      <c r="Y35" s="457" t="s">
        <v>350</v>
      </c>
      <c r="Z35" s="443">
        <v>46162</v>
      </c>
      <c r="AA35" s="444" t="s">
        <v>179</v>
      </c>
      <c r="AB35" s="444"/>
      <c r="AC35" s="444"/>
      <c r="AD35" s="445">
        <v>20</v>
      </c>
      <c r="AE35" s="866" t="s">
        <v>350</v>
      </c>
      <c r="AF35" s="370">
        <v>46197</v>
      </c>
      <c r="AG35" s="379" t="s">
        <v>180</v>
      </c>
      <c r="AH35" s="383"/>
      <c r="AI35" s="383"/>
      <c r="AJ35" s="426">
        <v>788.39</v>
      </c>
      <c r="AK35" s="424"/>
      <c r="AL35" s="451"/>
      <c r="AM35" s="439"/>
      <c r="AN35" s="439"/>
      <c r="AO35" s="440"/>
      <c r="AP35" s="421"/>
      <c r="AQ35" s="869"/>
      <c r="AR35" s="432">
        <v>46257</v>
      </c>
      <c r="AS35" s="415" t="s">
        <v>179</v>
      </c>
      <c r="AT35" s="433"/>
      <c r="AU35" s="434"/>
      <c r="AV35" s="435">
        <v>50</v>
      </c>
      <c r="AW35" s="457" t="s">
        <v>350</v>
      </c>
      <c r="AX35" s="447"/>
      <c r="AY35" s="439"/>
      <c r="AZ35" s="439"/>
      <c r="BA35" s="440"/>
      <c r="BB35" s="734"/>
      <c r="BC35" s="870"/>
      <c r="BD35" s="448"/>
      <c r="BE35" s="433"/>
      <c r="BF35" s="433"/>
      <c r="BG35" s="434"/>
      <c r="BH35" s="435"/>
      <c r="BI35" s="424"/>
      <c r="BJ35" s="438"/>
      <c r="BK35" s="439"/>
      <c r="BL35" s="439"/>
      <c r="BM35" s="440"/>
      <c r="BN35" s="421"/>
      <c r="BO35" s="870"/>
      <c r="BP35" s="448"/>
      <c r="BQ35" s="433"/>
      <c r="BR35" s="433"/>
      <c r="BS35" s="434"/>
      <c r="BT35" s="435"/>
      <c r="BU35" s="424"/>
    </row>
    <row r="36" spans="1:73" ht="12" customHeight="1" thickBot="1" x14ac:dyDescent="0.25">
      <c r="A36" s="1120"/>
      <c r="B36" s="928"/>
      <c r="C36" s="884"/>
      <c r="D36" s="884"/>
      <c r="E36" s="885"/>
      <c r="F36" s="929"/>
      <c r="G36" s="869"/>
      <c r="H36" s="737"/>
      <c r="I36" s="745"/>
      <c r="J36" s="746"/>
      <c r="K36" s="747"/>
      <c r="L36" s="740"/>
      <c r="M36" s="948"/>
      <c r="N36" s="930">
        <v>46106</v>
      </c>
      <c r="O36" s="882" t="s">
        <v>424</v>
      </c>
      <c r="P36" s="882"/>
      <c r="Q36" s="952"/>
      <c r="R36" s="953">
        <v>10</v>
      </c>
      <c r="S36" s="866" t="s">
        <v>350</v>
      </c>
      <c r="T36" s="452">
        <v>46138</v>
      </c>
      <c r="U36" s="453" t="s">
        <v>180</v>
      </c>
      <c r="V36" s="453"/>
      <c r="W36" s="454"/>
      <c r="X36" s="455">
        <v>848.51</v>
      </c>
      <c r="Y36" s="457"/>
      <c r="Z36" s="443">
        <v>46163</v>
      </c>
      <c r="AA36" s="444" t="s">
        <v>481</v>
      </c>
      <c r="AB36" s="444"/>
      <c r="AC36" s="444"/>
      <c r="AD36" s="445">
        <v>10</v>
      </c>
      <c r="AE36" s="866" t="s">
        <v>350</v>
      </c>
      <c r="AF36" s="370">
        <v>46203</v>
      </c>
      <c r="AG36" s="383" t="s">
        <v>179</v>
      </c>
      <c r="AH36" s="383"/>
      <c r="AI36" s="383"/>
      <c r="AJ36" s="426">
        <v>50</v>
      </c>
      <c r="AK36" s="424" t="s">
        <v>350</v>
      </c>
      <c r="AL36" s="451"/>
      <c r="AM36" s="439"/>
      <c r="AN36" s="439"/>
      <c r="AO36" s="440"/>
      <c r="AP36" s="421"/>
      <c r="AQ36" s="869"/>
      <c r="AR36" s="432">
        <v>46259</v>
      </c>
      <c r="AS36" s="415" t="s">
        <v>179</v>
      </c>
      <c r="AT36" s="433"/>
      <c r="AU36" s="434"/>
      <c r="AV36" s="435">
        <v>50</v>
      </c>
      <c r="AW36" s="457" t="s">
        <v>350</v>
      </c>
      <c r="AX36" s="447"/>
      <c r="AY36" s="439"/>
      <c r="AZ36" s="439"/>
      <c r="BA36" s="440"/>
      <c r="BB36" s="734"/>
      <c r="BC36" s="866"/>
      <c r="BD36" s="448"/>
      <c r="BE36" s="433"/>
      <c r="BF36" s="433"/>
      <c r="BG36" s="434"/>
      <c r="BH36" s="435"/>
      <c r="BI36" s="424"/>
      <c r="BJ36" s="438"/>
      <c r="BK36" s="439"/>
      <c r="BL36" s="439"/>
      <c r="BM36" s="440"/>
      <c r="BN36" s="421"/>
      <c r="BO36" s="866"/>
      <c r="BP36" s="448"/>
      <c r="BQ36" s="433"/>
      <c r="BR36" s="433"/>
      <c r="BS36" s="434"/>
      <c r="BT36" s="435"/>
      <c r="BU36" s="424"/>
    </row>
    <row r="37" spans="1:73" ht="12" customHeight="1" thickBot="1" x14ac:dyDescent="0.25">
      <c r="A37" s="1120"/>
      <c r="B37" s="928"/>
      <c r="C37" s="884"/>
      <c r="D37" s="884"/>
      <c r="E37" s="885"/>
      <c r="F37" s="929"/>
      <c r="G37" s="869"/>
      <c r="H37" s="737"/>
      <c r="I37" s="748"/>
      <c r="J37" s="749"/>
      <c r="K37" s="750"/>
      <c r="L37" s="740"/>
      <c r="M37" s="948"/>
      <c r="N37" s="930">
        <v>46110</v>
      </c>
      <c r="O37" s="882" t="s">
        <v>179</v>
      </c>
      <c r="P37" s="882"/>
      <c r="Q37" s="952"/>
      <c r="R37" s="953">
        <v>50</v>
      </c>
      <c r="S37" s="866" t="s">
        <v>350</v>
      </c>
      <c r="T37" s="452">
        <v>46138</v>
      </c>
      <c r="U37" s="453" t="s">
        <v>179</v>
      </c>
      <c r="V37" s="453"/>
      <c r="W37" s="454"/>
      <c r="X37" s="455">
        <v>100</v>
      </c>
      <c r="Y37" s="457" t="s">
        <v>350</v>
      </c>
      <c r="Z37" s="443">
        <v>46164</v>
      </c>
      <c r="AA37" s="444" t="s">
        <v>179</v>
      </c>
      <c r="AB37" s="444"/>
      <c r="AC37" s="444"/>
      <c r="AD37" s="445">
        <v>70</v>
      </c>
      <c r="AE37" s="866" t="s">
        <v>350</v>
      </c>
      <c r="AF37" s="370"/>
      <c r="AG37" s="383"/>
      <c r="AH37" s="383"/>
      <c r="AI37" s="383"/>
      <c r="AJ37" s="426"/>
      <c r="AK37" s="424"/>
      <c r="AL37" s="451"/>
      <c r="AM37" s="439"/>
      <c r="AN37" s="439"/>
      <c r="AO37" s="440"/>
      <c r="AP37" s="421"/>
      <c r="AQ37" s="869"/>
      <c r="AR37" s="432">
        <v>46259</v>
      </c>
      <c r="AS37" s="415" t="s">
        <v>179</v>
      </c>
      <c r="AT37" s="433"/>
      <c r="AU37" s="434"/>
      <c r="AV37" s="435">
        <v>50</v>
      </c>
      <c r="AW37" s="457" t="s">
        <v>350</v>
      </c>
      <c r="AX37" s="447"/>
      <c r="AY37" s="439"/>
      <c r="AZ37" s="439"/>
      <c r="BA37" s="440"/>
      <c r="BB37" s="734"/>
      <c r="BC37" s="866"/>
      <c r="BD37" s="448"/>
      <c r="BE37" s="433"/>
      <c r="BF37" s="433"/>
      <c r="BG37" s="434"/>
      <c r="BH37" s="435"/>
      <c r="BI37" s="424"/>
      <c r="BJ37" s="438"/>
      <c r="BK37" s="439"/>
      <c r="BL37" s="439"/>
      <c r="BM37" s="440"/>
      <c r="BN37" s="421"/>
      <c r="BO37" s="866"/>
      <c r="BP37" s="448"/>
      <c r="BQ37" s="433"/>
      <c r="BR37" s="433"/>
      <c r="BS37" s="434"/>
      <c r="BT37" s="435"/>
      <c r="BU37" s="424"/>
    </row>
    <row r="38" spans="1:73" ht="12" customHeight="1" thickBot="1" x14ac:dyDescent="0.25">
      <c r="A38" s="1120"/>
      <c r="B38" s="928"/>
      <c r="C38" s="884"/>
      <c r="D38" s="884"/>
      <c r="E38" s="885"/>
      <c r="F38" s="929"/>
      <c r="G38" s="869"/>
      <c r="H38" s="737"/>
      <c r="I38" s="751"/>
      <c r="J38" s="752"/>
      <c r="K38" s="753"/>
      <c r="L38" s="740"/>
      <c r="M38" s="948"/>
      <c r="N38" s="930">
        <v>46111</v>
      </c>
      <c r="O38" s="882" t="s">
        <v>424</v>
      </c>
      <c r="P38" s="882"/>
      <c r="Q38" s="952"/>
      <c r="R38" s="953">
        <v>11.49</v>
      </c>
      <c r="S38" s="869" t="s">
        <v>350</v>
      </c>
      <c r="T38" s="452">
        <v>46138</v>
      </c>
      <c r="U38" s="453" t="s">
        <v>445</v>
      </c>
      <c r="V38" s="453" t="s">
        <v>446</v>
      </c>
      <c r="W38" s="454"/>
      <c r="X38" s="455">
        <v>10</v>
      </c>
      <c r="Y38" s="457" t="s">
        <v>350</v>
      </c>
      <c r="Z38" s="443">
        <v>46166</v>
      </c>
      <c r="AA38" s="444" t="s">
        <v>481</v>
      </c>
      <c r="AB38" s="444"/>
      <c r="AC38" s="444"/>
      <c r="AD38" s="445">
        <v>20</v>
      </c>
      <c r="AE38" s="866" t="s">
        <v>350</v>
      </c>
      <c r="AF38" s="370"/>
      <c r="AG38" s="383"/>
      <c r="AH38" s="383"/>
      <c r="AI38" s="383"/>
      <c r="AJ38" s="426"/>
      <c r="AK38" s="424"/>
      <c r="AL38" s="451"/>
      <c r="AM38" s="439"/>
      <c r="AN38" s="439"/>
      <c r="AO38" s="440"/>
      <c r="AP38" s="421"/>
      <c r="AQ38" s="869"/>
      <c r="AR38" s="432">
        <v>46261</v>
      </c>
      <c r="AS38" s="1111" t="s">
        <v>180</v>
      </c>
      <c r="AT38" s="433"/>
      <c r="AU38" s="434"/>
      <c r="AV38" s="1113">
        <v>92.25</v>
      </c>
      <c r="AW38" s="457"/>
      <c r="AX38" s="447"/>
      <c r="AY38" s="439"/>
      <c r="AZ38" s="439"/>
      <c r="BA38" s="440"/>
      <c r="BB38" s="734"/>
      <c r="BC38" s="866"/>
      <c r="BD38" s="448"/>
      <c r="BE38" s="433"/>
      <c r="BF38" s="433"/>
      <c r="BG38" s="434"/>
      <c r="BH38" s="435"/>
      <c r="BI38" s="424"/>
      <c r="BJ38" s="438"/>
      <c r="BK38" s="439"/>
      <c r="BL38" s="439"/>
      <c r="BM38" s="440"/>
      <c r="BN38" s="421"/>
      <c r="BO38" s="866"/>
      <c r="BP38" s="448"/>
      <c r="BQ38" s="433"/>
      <c r="BR38" s="433"/>
      <c r="BS38" s="434"/>
      <c r="BT38" s="435"/>
      <c r="BU38" s="424"/>
    </row>
    <row r="39" spans="1:73" ht="12" customHeight="1" thickBot="1" x14ac:dyDescent="0.25">
      <c r="A39" s="1120"/>
      <c r="B39" s="928"/>
      <c r="C39" s="884"/>
      <c r="D39" s="884"/>
      <c r="E39" s="885"/>
      <c r="F39" s="929"/>
      <c r="G39" s="869"/>
      <c r="H39" s="737"/>
      <c r="I39" s="745"/>
      <c r="J39" s="746"/>
      <c r="K39" s="747"/>
      <c r="L39" s="740"/>
      <c r="M39" s="948"/>
      <c r="N39" s="930">
        <v>46111</v>
      </c>
      <c r="O39" s="882" t="s">
        <v>180</v>
      </c>
      <c r="P39" s="882"/>
      <c r="Q39" s="952"/>
      <c r="R39" s="953">
        <v>167.48</v>
      </c>
      <c r="S39" s="870"/>
      <c r="T39" s="452">
        <v>46140</v>
      </c>
      <c r="U39" s="453" t="s">
        <v>180</v>
      </c>
      <c r="V39" s="453"/>
      <c r="W39" s="454"/>
      <c r="X39" s="455">
        <v>28.99</v>
      </c>
      <c r="Y39" s="457"/>
      <c r="Z39" s="443">
        <v>46168</v>
      </c>
      <c r="AA39" s="444" t="s">
        <v>481</v>
      </c>
      <c r="AB39" s="444"/>
      <c r="AC39" s="444"/>
      <c r="AD39" s="445">
        <v>14</v>
      </c>
      <c r="AE39" s="866" t="s">
        <v>350</v>
      </c>
      <c r="AF39" s="370"/>
      <c r="AG39" s="383"/>
      <c r="AH39" s="383"/>
      <c r="AI39" s="383"/>
      <c r="AJ39" s="426"/>
      <c r="AK39" s="424"/>
      <c r="AL39" s="451"/>
      <c r="AM39" s="439"/>
      <c r="AN39" s="439"/>
      <c r="AO39" s="440"/>
      <c r="AP39" s="421"/>
      <c r="AQ39" s="869"/>
      <c r="AR39" s="432">
        <v>46262</v>
      </c>
      <c r="AS39" s="1111" t="s">
        <v>180</v>
      </c>
      <c r="AT39" s="433"/>
      <c r="AU39" s="434"/>
      <c r="AV39" s="1113">
        <v>17.010000000000002</v>
      </c>
      <c r="AW39" s="457"/>
      <c r="AX39" s="447"/>
      <c r="AY39" s="439"/>
      <c r="AZ39" s="439"/>
      <c r="BA39" s="440"/>
      <c r="BB39" s="441"/>
      <c r="BC39" s="866"/>
      <c r="BD39" s="448"/>
      <c r="BE39" s="433"/>
      <c r="BF39" s="433"/>
      <c r="BG39" s="434"/>
      <c r="BH39" s="435"/>
      <c r="BI39" s="424"/>
      <c r="BJ39" s="438"/>
      <c r="BK39" s="439"/>
      <c r="BL39" s="439"/>
      <c r="BM39" s="440"/>
      <c r="BN39" s="421"/>
      <c r="BO39" s="866"/>
      <c r="BP39" s="448"/>
      <c r="BQ39" s="433"/>
      <c r="BR39" s="433"/>
      <c r="BS39" s="434"/>
      <c r="BT39" s="435"/>
      <c r="BU39" s="424"/>
    </row>
    <row r="40" spans="1:73" ht="12" customHeight="1" thickBot="1" x14ac:dyDescent="0.25">
      <c r="A40" s="1120"/>
      <c r="B40" s="928"/>
      <c r="C40" s="884"/>
      <c r="D40" s="884"/>
      <c r="E40" s="885"/>
      <c r="F40" s="929"/>
      <c r="G40" s="869"/>
      <c r="H40" s="737"/>
      <c r="I40" s="745"/>
      <c r="J40" s="746"/>
      <c r="K40" s="747"/>
      <c r="L40" s="740"/>
      <c r="M40" s="741"/>
      <c r="N40" s="930"/>
      <c r="O40" s="882"/>
      <c r="P40" s="882"/>
      <c r="Q40" s="952"/>
      <c r="R40" s="953"/>
      <c r="S40" s="866"/>
      <c r="T40" s="452"/>
      <c r="U40" s="453"/>
      <c r="V40" s="453"/>
      <c r="W40" s="454"/>
      <c r="X40" s="455"/>
      <c r="Y40" s="457"/>
      <c r="Z40" s="443">
        <v>46171</v>
      </c>
      <c r="AA40" s="444" t="s">
        <v>179</v>
      </c>
      <c r="AB40" s="444"/>
      <c r="AC40" s="444"/>
      <c r="AD40" s="445">
        <v>50</v>
      </c>
      <c r="AE40" s="866" t="s">
        <v>350</v>
      </c>
      <c r="AF40" s="370"/>
      <c r="AG40" s="383"/>
      <c r="AH40" s="383"/>
      <c r="AI40" s="383"/>
      <c r="AJ40" s="426"/>
      <c r="AK40" s="424"/>
      <c r="AL40" s="451"/>
      <c r="AM40" s="439"/>
      <c r="AN40" s="439"/>
      <c r="AO40" s="440"/>
      <c r="AP40" s="421"/>
      <c r="AQ40" s="869"/>
      <c r="AR40" s="432">
        <v>46262</v>
      </c>
      <c r="AS40" s="415" t="s">
        <v>179</v>
      </c>
      <c r="AT40" s="433"/>
      <c r="AU40" s="434"/>
      <c r="AV40" s="435">
        <v>50</v>
      </c>
      <c r="AW40" s="457" t="s">
        <v>350</v>
      </c>
      <c r="AX40" s="447"/>
      <c r="AY40" s="439"/>
      <c r="AZ40" s="439"/>
      <c r="BA40" s="440"/>
      <c r="BB40" s="441"/>
      <c r="BC40" s="866"/>
      <c r="BD40" s="448"/>
      <c r="BE40" s="433"/>
      <c r="BF40" s="433"/>
      <c r="BG40" s="434"/>
      <c r="BH40" s="435"/>
      <c r="BI40" s="424"/>
      <c r="BJ40" s="456"/>
      <c r="BK40" s="439"/>
      <c r="BL40" s="439"/>
      <c r="BM40" s="440"/>
      <c r="BN40" s="421"/>
      <c r="BO40" s="866"/>
      <c r="BP40" s="448"/>
      <c r="BQ40" s="433"/>
      <c r="BR40" s="433"/>
      <c r="BS40" s="434"/>
      <c r="BT40" s="435"/>
      <c r="BU40" s="424"/>
    </row>
    <row r="41" spans="1:73" ht="12" customHeight="1" thickBot="1" x14ac:dyDescent="0.25">
      <c r="A41" s="1120"/>
      <c r="B41" s="928"/>
      <c r="C41" s="884"/>
      <c r="D41" s="884"/>
      <c r="E41" s="885"/>
      <c r="F41" s="929"/>
      <c r="G41" s="869"/>
      <c r="H41" s="737"/>
      <c r="I41" s="745"/>
      <c r="J41" s="746"/>
      <c r="K41" s="747"/>
      <c r="L41" s="740"/>
      <c r="M41" s="742"/>
      <c r="N41" s="954"/>
      <c r="O41" s="884"/>
      <c r="P41" s="884"/>
      <c r="Q41" s="952"/>
      <c r="R41" s="953"/>
      <c r="S41" s="866"/>
      <c r="T41" s="452"/>
      <c r="U41" s="453"/>
      <c r="V41" s="453"/>
      <c r="W41" s="454"/>
      <c r="X41" s="455"/>
      <c r="Y41" s="457"/>
      <c r="Z41" s="443">
        <v>46172</v>
      </c>
      <c r="AA41" s="444" t="s">
        <v>180</v>
      </c>
      <c r="AB41" s="444"/>
      <c r="AC41" s="444"/>
      <c r="AD41" s="445">
        <v>458.98</v>
      </c>
      <c r="AE41" s="869"/>
      <c r="AF41" s="370"/>
      <c r="AG41" s="379"/>
      <c r="AH41" s="383"/>
      <c r="AI41" s="383"/>
      <c r="AJ41" s="426"/>
      <c r="AK41" s="424"/>
      <c r="AL41" s="451"/>
      <c r="AM41" s="439"/>
      <c r="AN41" s="439"/>
      <c r="AO41" s="440"/>
      <c r="AP41" s="421"/>
      <c r="AQ41" s="869"/>
      <c r="AR41" s="432">
        <v>46263</v>
      </c>
      <c r="AS41" s="415" t="s">
        <v>179</v>
      </c>
      <c r="AT41" s="433"/>
      <c r="AU41" s="434"/>
      <c r="AV41" s="435">
        <v>20</v>
      </c>
      <c r="AW41" s="457" t="s">
        <v>350</v>
      </c>
      <c r="AX41" s="447"/>
      <c r="AY41" s="439"/>
      <c r="AZ41" s="439"/>
      <c r="BA41" s="440"/>
      <c r="BB41" s="441"/>
      <c r="BC41" s="866"/>
      <c r="BD41" s="448"/>
      <c r="BE41" s="433"/>
      <c r="BF41" s="433"/>
      <c r="BG41" s="434"/>
      <c r="BH41" s="435"/>
      <c r="BI41" s="431"/>
      <c r="BJ41" s="456"/>
      <c r="BK41" s="439"/>
      <c r="BL41" s="439"/>
      <c r="BM41" s="440"/>
      <c r="BN41" s="421"/>
      <c r="BO41" s="866"/>
      <c r="BP41" s="448"/>
      <c r="BQ41" s="433"/>
      <c r="BR41" s="433"/>
      <c r="BS41" s="434"/>
      <c r="BT41" s="435"/>
      <c r="BU41" s="431"/>
    </row>
    <row r="42" spans="1:73" ht="12" customHeight="1" thickBot="1" x14ac:dyDescent="0.25">
      <c r="A42" s="1120"/>
      <c r="B42" s="928"/>
      <c r="C42" s="884"/>
      <c r="D42" s="884"/>
      <c r="E42" s="885"/>
      <c r="F42" s="929"/>
      <c r="G42" s="869"/>
      <c r="H42" s="737"/>
      <c r="I42" s="433"/>
      <c r="J42" s="449"/>
      <c r="K42" s="450"/>
      <c r="L42" s="740"/>
      <c r="M42" s="424"/>
      <c r="N42" s="954"/>
      <c r="O42" s="884"/>
      <c r="P42" s="884"/>
      <c r="Q42" s="952"/>
      <c r="R42" s="953"/>
      <c r="S42" s="866"/>
      <c r="T42" s="452"/>
      <c r="U42" s="453"/>
      <c r="V42" s="453"/>
      <c r="W42" s="454"/>
      <c r="X42" s="455"/>
      <c r="Y42" s="457"/>
      <c r="Z42" s="443">
        <v>46172</v>
      </c>
      <c r="AA42" s="444" t="s">
        <v>179</v>
      </c>
      <c r="AB42" s="444"/>
      <c r="AC42" s="444"/>
      <c r="AD42" s="445">
        <v>50</v>
      </c>
      <c r="AE42" s="866" t="s">
        <v>350</v>
      </c>
      <c r="AF42" s="370"/>
      <c r="AG42" s="383"/>
      <c r="AH42" s="383"/>
      <c r="AI42" s="383"/>
      <c r="AJ42" s="426"/>
      <c r="AK42" s="424"/>
      <c r="AL42" s="451"/>
      <c r="AM42" s="439"/>
      <c r="AN42" s="439"/>
      <c r="AO42" s="440"/>
      <c r="AP42" s="421"/>
      <c r="AQ42" s="869"/>
      <c r="AR42" s="432">
        <v>46264</v>
      </c>
      <c r="AS42" s="1111" t="s">
        <v>180</v>
      </c>
      <c r="AT42" s="433"/>
      <c r="AU42" s="434"/>
      <c r="AV42" s="1113">
        <v>36.43</v>
      </c>
      <c r="AW42" s="457"/>
      <c r="AX42" s="447"/>
      <c r="AY42" s="439"/>
      <c r="AZ42" s="439"/>
      <c r="BA42" s="440"/>
      <c r="BB42" s="441"/>
      <c r="BC42" s="866"/>
      <c r="BD42" s="448"/>
      <c r="BE42" s="433"/>
      <c r="BF42" s="433"/>
      <c r="BG42" s="434"/>
      <c r="BH42" s="435"/>
      <c r="BI42" s="424"/>
      <c r="BJ42" s="456"/>
      <c r="BK42" s="439"/>
      <c r="BL42" s="439"/>
      <c r="BM42" s="440"/>
      <c r="BN42" s="421"/>
      <c r="BO42" s="866"/>
      <c r="BP42" s="448"/>
      <c r="BQ42" s="433"/>
      <c r="BR42" s="433"/>
      <c r="BS42" s="434"/>
      <c r="BT42" s="435"/>
      <c r="BU42" s="424"/>
    </row>
    <row r="43" spans="1:73" ht="12" customHeight="1" thickBot="1" x14ac:dyDescent="0.25">
      <c r="A43" s="1120"/>
      <c r="B43" s="928"/>
      <c r="C43" s="884"/>
      <c r="D43" s="884"/>
      <c r="E43" s="885"/>
      <c r="F43" s="929"/>
      <c r="G43" s="869"/>
      <c r="H43" s="737"/>
      <c r="I43" s="433"/>
      <c r="J43" s="449"/>
      <c r="K43" s="450"/>
      <c r="L43" s="740"/>
      <c r="M43" s="424"/>
      <c r="N43" s="954"/>
      <c r="O43" s="884"/>
      <c r="P43" s="884"/>
      <c r="Q43" s="952"/>
      <c r="R43" s="953"/>
      <c r="S43" s="866"/>
      <c r="T43" s="452"/>
      <c r="U43" s="453"/>
      <c r="V43" s="453"/>
      <c r="W43" s="454"/>
      <c r="X43" s="455"/>
      <c r="Y43" s="457"/>
      <c r="Z43" s="996"/>
      <c r="AA43" s="444"/>
      <c r="AB43" s="444"/>
      <c r="AC43" s="444"/>
      <c r="AD43" s="445"/>
      <c r="AE43" s="866"/>
      <c r="AF43" s="370"/>
      <c r="AG43" s="383"/>
      <c r="AH43" s="383"/>
      <c r="AI43" s="383"/>
      <c r="AJ43" s="426"/>
      <c r="AK43" s="424"/>
      <c r="AL43" s="451"/>
      <c r="AM43" s="439"/>
      <c r="AN43" s="439"/>
      <c r="AO43" s="440"/>
      <c r="AP43" s="421"/>
      <c r="AQ43" s="869"/>
      <c r="AR43" s="448"/>
      <c r="AS43" s="415"/>
      <c r="AT43" s="433"/>
      <c r="AU43" s="434"/>
      <c r="AV43" s="435"/>
      <c r="AW43" s="457"/>
      <c r="AX43" s="447"/>
      <c r="AY43" s="439"/>
      <c r="AZ43" s="439"/>
      <c r="BA43" s="440"/>
      <c r="BB43" s="441"/>
      <c r="BC43" s="866"/>
      <c r="BD43" s="448"/>
      <c r="BE43" s="433"/>
      <c r="BF43" s="433"/>
      <c r="BG43" s="434"/>
      <c r="BH43" s="435"/>
      <c r="BI43" s="424"/>
      <c r="BJ43" s="456"/>
      <c r="BK43" s="439"/>
      <c r="BL43" s="439"/>
      <c r="BM43" s="440"/>
      <c r="BN43" s="421"/>
      <c r="BO43" s="866"/>
      <c r="BP43" s="448"/>
      <c r="BQ43" s="433"/>
      <c r="BR43" s="433"/>
      <c r="BS43" s="434"/>
      <c r="BT43" s="435"/>
      <c r="BU43" s="424"/>
    </row>
    <row r="44" spans="1:73" ht="12" customHeight="1" thickBot="1" x14ac:dyDescent="0.25">
      <c r="A44" s="1120"/>
      <c r="B44" s="928"/>
      <c r="C44" s="884"/>
      <c r="D44" s="884"/>
      <c r="E44" s="885"/>
      <c r="F44" s="929"/>
      <c r="G44" s="869"/>
      <c r="H44" s="737"/>
      <c r="I44" s="433"/>
      <c r="J44" s="449"/>
      <c r="K44" s="450"/>
      <c r="L44" s="740"/>
      <c r="M44" s="424"/>
      <c r="N44" s="954"/>
      <c r="O44" s="884"/>
      <c r="P44" s="884"/>
      <c r="Q44" s="952"/>
      <c r="R44" s="953"/>
      <c r="S44" s="866"/>
      <c r="T44" s="452"/>
      <c r="U44" s="453"/>
      <c r="V44" s="453"/>
      <c r="W44" s="454"/>
      <c r="X44" s="455"/>
      <c r="Y44" s="457"/>
      <c r="Z44" s="996"/>
      <c r="AA44" s="444"/>
      <c r="AB44" s="444"/>
      <c r="AC44" s="444"/>
      <c r="AD44" s="445"/>
      <c r="AE44" s="866"/>
      <c r="AF44" s="370"/>
      <c r="AG44" s="383"/>
      <c r="AH44" s="383"/>
      <c r="AI44" s="383"/>
      <c r="AJ44" s="426"/>
      <c r="AK44" s="424"/>
      <c r="AL44" s="451"/>
      <c r="AM44" s="439"/>
      <c r="AN44" s="439"/>
      <c r="AO44" s="440"/>
      <c r="AP44" s="421"/>
      <c r="AQ44" s="869"/>
      <c r="AR44" s="448"/>
      <c r="AS44" s="415"/>
      <c r="AT44" s="433"/>
      <c r="AU44" s="434"/>
      <c r="AV44" s="435"/>
      <c r="AW44" s="457"/>
      <c r="AX44" s="447"/>
      <c r="AY44" s="439"/>
      <c r="AZ44" s="439"/>
      <c r="BA44" s="440"/>
      <c r="BB44" s="441"/>
      <c r="BC44" s="866"/>
      <c r="BD44" s="448"/>
      <c r="BE44" s="433"/>
      <c r="BF44" s="433"/>
      <c r="BG44" s="434"/>
      <c r="BH44" s="435"/>
      <c r="BI44" s="424"/>
      <c r="BJ44" s="456"/>
      <c r="BK44" s="439"/>
      <c r="BL44" s="439"/>
      <c r="BM44" s="440"/>
      <c r="BN44" s="421"/>
      <c r="BO44" s="866"/>
      <c r="BP44" s="448"/>
      <c r="BQ44" s="433"/>
      <c r="BR44" s="433"/>
      <c r="BS44" s="434"/>
      <c r="BT44" s="435"/>
      <c r="BU44" s="424"/>
    </row>
    <row r="45" spans="1:73" ht="12" customHeight="1" thickBot="1" x14ac:dyDescent="0.25">
      <c r="A45" s="1120"/>
      <c r="B45" s="928"/>
      <c r="C45" s="884"/>
      <c r="D45" s="884"/>
      <c r="E45" s="885"/>
      <c r="F45" s="929"/>
      <c r="G45" s="869"/>
      <c r="H45" s="737"/>
      <c r="I45" s="433"/>
      <c r="J45" s="449"/>
      <c r="K45" s="450"/>
      <c r="L45" s="740"/>
      <c r="M45" s="424"/>
      <c r="N45" s="954"/>
      <c r="O45" s="884"/>
      <c r="P45" s="884"/>
      <c r="Q45" s="952"/>
      <c r="R45" s="953"/>
      <c r="S45" s="866"/>
      <c r="T45" s="452"/>
      <c r="U45" s="453"/>
      <c r="V45" s="453"/>
      <c r="W45" s="454"/>
      <c r="X45" s="455"/>
      <c r="Y45" s="457"/>
      <c r="Z45" s="996"/>
      <c r="AA45" s="444"/>
      <c r="AB45" s="444"/>
      <c r="AC45" s="444"/>
      <c r="AD45" s="445"/>
      <c r="AE45" s="866"/>
      <c r="AF45" s="370"/>
      <c r="AG45" s="383"/>
      <c r="AH45" s="383"/>
      <c r="AI45" s="383"/>
      <c r="AJ45" s="426"/>
      <c r="AK45" s="424"/>
      <c r="AL45" s="451"/>
      <c r="AM45" s="439"/>
      <c r="AN45" s="439"/>
      <c r="AO45" s="440"/>
      <c r="AP45" s="421"/>
      <c r="AQ45" s="866"/>
      <c r="AR45" s="448"/>
      <c r="AS45" s="415"/>
      <c r="AT45" s="433"/>
      <c r="AU45" s="434"/>
      <c r="AV45" s="435"/>
      <c r="AW45" s="457"/>
      <c r="AX45" s="447"/>
      <c r="AY45" s="439"/>
      <c r="AZ45" s="439"/>
      <c r="BA45" s="440"/>
      <c r="BB45" s="441"/>
      <c r="BC45" s="866"/>
      <c r="BD45" s="448"/>
      <c r="BE45" s="433"/>
      <c r="BF45" s="433"/>
      <c r="BG45" s="434"/>
      <c r="BH45" s="435"/>
      <c r="BI45" s="424"/>
      <c r="BJ45" s="456"/>
      <c r="BK45" s="439"/>
      <c r="BL45" s="439"/>
      <c r="BM45" s="440"/>
      <c r="BN45" s="421"/>
      <c r="BO45" s="866"/>
      <c r="BP45" s="448"/>
      <c r="BQ45" s="433"/>
      <c r="BR45" s="433"/>
      <c r="BS45" s="434"/>
      <c r="BT45" s="435"/>
      <c r="BU45" s="424"/>
    </row>
    <row r="46" spans="1:73" ht="12" customHeight="1" thickBot="1" x14ac:dyDescent="0.25">
      <c r="A46" s="1120"/>
      <c r="B46" s="928"/>
      <c r="C46" s="884"/>
      <c r="D46" s="884"/>
      <c r="E46" s="885"/>
      <c r="F46" s="929"/>
      <c r="G46" s="869"/>
      <c r="H46" s="737"/>
      <c r="I46" s="433"/>
      <c r="J46" s="449"/>
      <c r="K46" s="450"/>
      <c r="L46" s="740"/>
      <c r="M46" s="424"/>
      <c r="N46" s="954"/>
      <c r="O46" s="884"/>
      <c r="P46" s="884"/>
      <c r="Q46" s="952"/>
      <c r="R46" s="953"/>
      <c r="S46" s="866"/>
      <c r="T46" s="452"/>
      <c r="U46" s="453"/>
      <c r="V46" s="453"/>
      <c r="W46" s="454"/>
      <c r="X46" s="455"/>
      <c r="Y46" s="457"/>
      <c r="Z46" s="996"/>
      <c r="AA46" s="444"/>
      <c r="AB46" s="444"/>
      <c r="AC46" s="444"/>
      <c r="AD46" s="445"/>
      <c r="AE46" s="866"/>
      <c r="AF46" s="370"/>
      <c r="AG46" s="383"/>
      <c r="AH46" s="383"/>
      <c r="AI46" s="383"/>
      <c r="AJ46" s="426"/>
      <c r="AK46" s="424"/>
      <c r="AL46" s="451"/>
      <c r="AM46" s="439"/>
      <c r="AN46" s="439"/>
      <c r="AO46" s="440"/>
      <c r="AP46" s="421"/>
      <c r="AQ46" s="866"/>
      <c r="AR46" s="448"/>
      <c r="AS46" s="415"/>
      <c r="AT46" s="433"/>
      <c r="AU46" s="434"/>
      <c r="AV46" s="435"/>
      <c r="AW46" s="457"/>
      <c r="AX46" s="447"/>
      <c r="AY46" s="439"/>
      <c r="AZ46" s="439"/>
      <c r="BA46" s="440"/>
      <c r="BB46" s="441"/>
      <c r="BC46" s="866"/>
      <c r="BD46" s="448"/>
      <c r="BE46" s="433"/>
      <c r="BF46" s="433"/>
      <c r="BG46" s="434"/>
      <c r="BH46" s="435"/>
      <c r="BI46" s="424"/>
      <c r="BJ46" s="456"/>
      <c r="BK46" s="439"/>
      <c r="BL46" s="439"/>
      <c r="BM46" s="440"/>
      <c r="BN46" s="421"/>
      <c r="BO46" s="866"/>
      <c r="BP46" s="448"/>
      <c r="BQ46" s="433"/>
      <c r="BR46" s="433"/>
      <c r="BS46" s="434"/>
      <c r="BT46" s="435"/>
      <c r="BU46" s="424"/>
    </row>
    <row r="47" spans="1:73" ht="12" customHeight="1" thickBot="1" x14ac:dyDescent="0.25">
      <c r="A47" s="1120"/>
      <c r="B47" s="928"/>
      <c r="C47" s="884"/>
      <c r="D47" s="884"/>
      <c r="E47" s="885"/>
      <c r="F47" s="929"/>
      <c r="G47" s="869"/>
      <c r="H47" s="737"/>
      <c r="I47" s="433"/>
      <c r="J47" s="449"/>
      <c r="K47" s="450"/>
      <c r="L47" s="740"/>
      <c r="M47" s="424"/>
      <c r="N47" s="954"/>
      <c r="O47" s="884"/>
      <c r="P47" s="884"/>
      <c r="Q47" s="952"/>
      <c r="R47" s="953"/>
      <c r="S47" s="866"/>
      <c r="T47" s="452"/>
      <c r="U47" s="453"/>
      <c r="V47" s="453"/>
      <c r="W47" s="454"/>
      <c r="X47" s="455"/>
      <c r="Y47" s="457"/>
      <c r="Z47" s="996"/>
      <c r="AA47" s="444"/>
      <c r="AB47" s="444"/>
      <c r="AC47" s="444"/>
      <c r="AD47" s="445"/>
      <c r="AE47" s="866"/>
      <c r="AF47" s="370"/>
      <c r="AG47" s="383"/>
      <c r="AH47" s="383"/>
      <c r="AI47" s="383"/>
      <c r="AJ47" s="426"/>
      <c r="AK47" s="424"/>
      <c r="AL47" s="451"/>
      <c r="AM47" s="439"/>
      <c r="AN47" s="439"/>
      <c r="AO47" s="440"/>
      <c r="AP47" s="441"/>
      <c r="AQ47" s="866"/>
      <c r="AR47" s="448"/>
      <c r="AS47" s="415"/>
      <c r="AT47" s="433"/>
      <c r="AU47" s="434"/>
      <c r="AV47" s="435"/>
      <c r="AW47" s="457"/>
      <c r="AX47" s="447"/>
      <c r="AY47" s="439"/>
      <c r="AZ47" s="439"/>
      <c r="BA47" s="440"/>
      <c r="BB47" s="441"/>
      <c r="BC47" s="866"/>
      <c r="BD47" s="448"/>
      <c r="BE47" s="433"/>
      <c r="BF47" s="433"/>
      <c r="BG47" s="434"/>
      <c r="BH47" s="435"/>
      <c r="BI47" s="424"/>
      <c r="BJ47" s="456"/>
      <c r="BK47" s="439"/>
      <c r="BL47" s="439"/>
      <c r="BM47" s="440"/>
      <c r="BN47" s="421"/>
      <c r="BO47" s="866"/>
      <c r="BP47" s="448"/>
      <c r="BQ47" s="433"/>
      <c r="BR47" s="433"/>
      <c r="BS47" s="434"/>
      <c r="BT47" s="435"/>
      <c r="BU47" s="424"/>
    </row>
    <row r="48" spans="1:73" ht="12" customHeight="1" thickBot="1" x14ac:dyDescent="0.25">
      <c r="A48" s="1120"/>
      <c r="B48" s="928"/>
      <c r="C48" s="884"/>
      <c r="D48" s="884"/>
      <c r="E48" s="885"/>
      <c r="F48" s="929"/>
      <c r="G48" s="869"/>
      <c r="H48" s="737"/>
      <c r="I48" s="433"/>
      <c r="J48" s="449"/>
      <c r="K48" s="450"/>
      <c r="L48" s="740"/>
      <c r="M48" s="424"/>
      <c r="N48" s="954"/>
      <c r="O48" s="884"/>
      <c r="P48" s="884"/>
      <c r="Q48" s="952"/>
      <c r="R48" s="953"/>
      <c r="S48" s="866"/>
      <c r="T48" s="452"/>
      <c r="U48" s="453"/>
      <c r="V48" s="453"/>
      <c r="W48" s="454"/>
      <c r="X48" s="455"/>
      <c r="Y48" s="457"/>
      <c r="Z48" s="996"/>
      <c r="AA48" s="444"/>
      <c r="AB48" s="444"/>
      <c r="AC48" s="444"/>
      <c r="AD48" s="445"/>
      <c r="AE48" s="866"/>
      <c r="AF48" s="370"/>
      <c r="AG48" s="383"/>
      <c r="AH48" s="383"/>
      <c r="AI48" s="383"/>
      <c r="AJ48" s="426"/>
      <c r="AK48" s="424"/>
      <c r="AL48" s="451"/>
      <c r="AM48" s="439"/>
      <c r="AN48" s="439"/>
      <c r="AO48" s="440"/>
      <c r="AP48" s="441"/>
      <c r="AQ48" s="866"/>
      <c r="AR48" s="448"/>
      <c r="AS48" s="415"/>
      <c r="AT48" s="433"/>
      <c r="AU48" s="434"/>
      <c r="AV48" s="435"/>
      <c r="AW48" s="457"/>
      <c r="AX48" s="460"/>
      <c r="AY48" s="439"/>
      <c r="AZ48" s="439"/>
      <c r="BA48" s="440"/>
      <c r="BB48" s="441"/>
      <c r="BC48" s="866"/>
      <c r="BD48" s="448"/>
      <c r="BE48" s="433"/>
      <c r="BF48" s="433"/>
      <c r="BG48" s="434"/>
      <c r="BH48" s="435"/>
      <c r="BI48" s="424"/>
      <c r="BJ48" s="456"/>
      <c r="BK48" s="439"/>
      <c r="BL48" s="439"/>
      <c r="BM48" s="440"/>
      <c r="BN48" s="441"/>
      <c r="BO48" s="866"/>
      <c r="BP48" s="448"/>
      <c r="BQ48" s="433"/>
      <c r="BR48" s="433"/>
      <c r="BS48" s="434"/>
      <c r="BT48" s="435"/>
      <c r="BU48" s="424"/>
    </row>
    <row r="49" spans="1:73" ht="12" customHeight="1" thickBot="1" x14ac:dyDescent="0.25">
      <c r="A49" s="1120"/>
      <c r="B49" s="928"/>
      <c r="C49" s="884"/>
      <c r="D49" s="884"/>
      <c r="E49" s="885"/>
      <c r="F49" s="929"/>
      <c r="G49" s="869"/>
      <c r="H49" s="737"/>
      <c r="I49" s="433"/>
      <c r="J49" s="449"/>
      <c r="K49" s="450"/>
      <c r="L49" s="740"/>
      <c r="M49" s="424"/>
      <c r="N49" s="954"/>
      <c r="O49" s="884"/>
      <c r="P49" s="884"/>
      <c r="Q49" s="952"/>
      <c r="R49" s="953"/>
      <c r="S49" s="866"/>
      <c r="T49" s="452"/>
      <c r="U49" s="453"/>
      <c r="V49" s="453"/>
      <c r="W49" s="454"/>
      <c r="X49" s="455"/>
      <c r="Y49" s="457"/>
      <c r="Z49" s="996"/>
      <c r="AA49" s="444"/>
      <c r="AB49" s="444"/>
      <c r="AC49" s="444"/>
      <c r="AD49" s="445"/>
      <c r="AE49" s="866"/>
      <c r="AF49" s="370"/>
      <c r="AG49" s="383"/>
      <c r="AH49" s="383"/>
      <c r="AI49" s="383"/>
      <c r="AJ49" s="426"/>
      <c r="AK49" s="424"/>
      <c r="AL49" s="451"/>
      <c r="AM49" s="439"/>
      <c r="AN49" s="439"/>
      <c r="AO49" s="440"/>
      <c r="AP49" s="441"/>
      <c r="AQ49" s="866"/>
      <c r="AR49" s="448"/>
      <c r="AS49" s="415"/>
      <c r="AT49" s="433"/>
      <c r="AU49" s="434"/>
      <c r="AV49" s="435"/>
      <c r="AW49" s="457"/>
      <c r="AX49" s="460"/>
      <c r="AY49" s="439"/>
      <c r="AZ49" s="439"/>
      <c r="BA49" s="440"/>
      <c r="BB49" s="441"/>
      <c r="BC49" s="866"/>
      <c r="BD49" s="448"/>
      <c r="BE49" s="433"/>
      <c r="BF49" s="433"/>
      <c r="BG49" s="434"/>
      <c r="BH49" s="435"/>
      <c r="BI49" s="424"/>
      <c r="BJ49" s="456"/>
      <c r="BK49" s="439"/>
      <c r="BL49" s="439"/>
      <c r="BM49" s="440"/>
      <c r="BN49" s="441"/>
      <c r="BO49" s="866"/>
      <c r="BP49" s="448"/>
      <c r="BQ49" s="433"/>
      <c r="BR49" s="433"/>
      <c r="BS49" s="434"/>
      <c r="BT49" s="435"/>
      <c r="BU49" s="424"/>
    </row>
    <row r="50" spans="1:73" ht="12" customHeight="1" thickBot="1" x14ac:dyDescent="0.25">
      <c r="A50" s="1120"/>
      <c r="B50" s="928"/>
      <c r="C50" s="884"/>
      <c r="D50" s="884"/>
      <c r="E50" s="885"/>
      <c r="F50" s="929"/>
      <c r="G50" s="869"/>
      <c r="H50" s="737"/>
      <c r="I50" s="433"/>
      <c r="J50" s="449"/>
      <c r="K50" s="450"/>
      <c r="L50" s="740"/>
      <c r="M50" s="424"/>
      <c r="N50" s="954"/>
      <c r="O50" s="884"/>
      <c r="P50" s="884"/>
      <c r="Q50" s="952"/>
      <c r="R50" s="953"/>
      <c r="S50" s="866"/>
      <c r="T50" s="452"/>
      <c r="U50" s="453"/>
      <c r="V50" s="453"/>
      <c r="W50" s="454"/>
      <c r="X50" s="455"/>
      <c r="Y50" s="457"/>
      <c r="Z50" s="996"/>
      <c r="AA50" s="444"/>
      <c r="AB50" s="444"/>
      <c r="AC50" s="444"/>
      <c r="AD50" s="445"/>
      <c r="AE50" s="866"/>
      <c r="AF50" s="370"/>
      <c r="AG50" s="383"/>
      <c r="AH50" s="383"/>
      <c r="AI50" s="383"/>
      <c r="AJ50" s="426"/>
      <c r="AK50" s="424"/>
      <c r="AL50" s="451"/>
      <c r="AM50" s="439"/>
      <c r="AN50" s="439"/>
      <c r="AO50" s="440"/>
      <c r="AP50" s="441"/>
      <c r="AQ50" s="866"/>
      <c r="AR50" s="448"/>
      <c r="AS50" s="415"/>
      <c r="AT50" s="433"/>
      <c r="AU50" s="434"/>
      <c r="AV50" s="435"/>
      <c r="AW50" s="424"/>
      <c r="AX50" s="460"/>
      <c r="AY50" s="439"/>
      <c r="AZ50" s="439"/>
      <c r="BA50" s="440"/>
      <c r="BB50" s="441"/>
      <c r="BC50" s="866"/>
      <c r="BD50" s="448"/>
      <c r="BE50" s="433"/>
      <c r="BF50" s="433"/>
      <c r="BG50" s="434"/>
      <c r="BH50" s="435"/>
      <c r="BI50" s="424"/>
      <c r="BJ50" s="456"/>
      <c r="BK50" s="439"/>
      <c r="BL50" s="439"/>
      <c r="BM50" s="440"/>
      <c r="BN50" s="441"/>
      <c r="BO50" s="866"/>
      <c r="BP50" s="448"/>
      <c r="BQ50" s="433"/>
      <c r="BR50" s="433"/>
      <c r="BS50" s="434"/>
      <c r="BT50" s="435"/>
      <c r="BU50" s="424"/>
    </row>
    <row r="51" spans="1:73" ht="12" customHeight="1" thickBot="1" x14ac:dyDescent="0.25">
      <c r="A51" s="1120"/>
      <c r="B51" s="928"/>
      <c r="C51" s="884"/>
      <c r="D51" s="884"/>
      <c r="E51" s="885"/>
      <c r="F51" s="929"/>
      <c r="G51" s="869"/>
      <c r="H51" s="737"/>
      <c r="I51" s="433"/>
      <c r="J51" s="449"/>
      <c r="K51" s="450"/>
      <c r="L51" s="740"/>
      <c r="M51" s="424"/>
      <c r="N51" s="954"/>
      <c r="O51" s="884"/>
      <c r="P51" s="884"/>
      <c r="Q51" s="952"/>
      <c r="R51" s="955"/>
      <c r="S51" s="866"/>
      <c r="T51" s="452"/>
      <c r="U51" s="453"/>
      <c r="V51" s="453"/>
      <c r="W51" s="454"/>
      <c r="X51" s="455"/>
      <c r="Y51" s="457"/>
      <c r="Z51" s="996"/>
      <c r="AA51" s="444"/>
      <c r="AB51" s="444"/>
      <c r="AC51" s="444"/>
      <c r="AD51" s="445"/>
      <c r="AE51" s="866"/>
      <c r="AF51" s="370"/>
      <c r="AG51" s="383"/>
      <c r="AH51" s="383"/>
      <c r="AI51" s="383"/>
      <c r="AJ51" s="426"/>
      <c r="AK51" s="424"/>
      <c r="AL51" s="451"/>
      <c r="AM51" s="439"/>
      <c r="AN51" s="439"/>
      <c r="AO51" s="440"/>
      <c r="AP51" s="441"/>
      <c r="AQ51" s="866"/>
      <c r="AR51" s="448"/>
      <c r="AS51" s="415"/>
      <c r="AT51" s="433"/>
      <c r="AU51" s="434"/>
      <c r="AV51" s="435"/>
      <c r="AW51" s="424"/>
      <c r="AX51" s="460"/>
      <c r="AY51" s="439"/>
      <c r="AZ51" s="439"/>
      <c r="BA51" s="440"/>
      <c r="BB51" s="441"/>
      <c r="BC51" s="866"/>
      <c r="BD51" s="448"/>
      <c r="BE51" s="433"/>
      <c r="BF51" s="433"/>
      <c r="BG51" s="434"/>
      <c r="BH51" s="435"/>
      <c r="BI51" s="424"/>
      <c r="BJ51" s="456"/>
      <c r="BK51" s="439"/>
      <c r="BL51" s="439"/>
      <c r="BM51" s="440"/>
      <c r="BN51" s="441"/>
      <c r="BO51" s="866"/>
      <c r="BP51" s="448"/>
      <c r="BQ51" s="433"/>
      <c r="BR51" s="433"/>
      <c r="BS51" s="434"/>
      <c r="BT51" s="435"/>
      <c r="BU51" s="424"/>
    </row>
    <row r="52" spans="1:73" ht="12" customHeight="1" thickBot="1" x14ac:dyDescent="0.25">
      <c r="A52" s="1120"/>
      <c r="B52" s="401"/>
      <c r="C52" s="397"/>
      <c r="D52" s="886"/>
      <c r="E52" s="887"/>
      <c r="F52" s="399"/>
      <c r="G52" s="898"/>
      <c r="H52" s="388"/>
      <c r="I52" s="461"/>
      <c r="J52" s="461"/>
      <c r="K52" s="462"/>
      <c r="L52" s="391"/>
      <c r="M52" s="463"/>
      <c r="N52" s="956"/>
      <c r="O52" s="886"/>
      <c r="P52" s="886"/>
      <c r="Q52" s="957"/>
      <c r="R52" s="958"/>
      <c r="S52" s="867"/>
      <c r="T52" s="987"/>
      <c r="U52" s="988"/>
      <c r="V52" s="988"/>
      <c r="W52" s="989"/>
      <c r="X52" s="990"/>
      <c r="Y52" s="991"/>
      <c r="Z52" s="997"/>
      <c r="AA52" s="998"/>
      <c r="AB52" s="998"/>
      <c r="AC52" s="998"/>
      <c r="AD52" s="999"/>
      <c r="AE52" s="867"/>
      <c r="AF52" s="461"/>
      <c r="AG52" s="465"/>
      <c r="AH52" s="465"/>
      <c r="AI52" s="465"/>
      <c r="AJ52" s="466"/>
      <c r="AK52" s="463"/>
      <c r="AL52" s="467"/>
      <c r="AM52" s="397"/>
      <c r="AN52" s="397"/>
      <c r="AO52" s="398"/>
      <c r="AP52" s="399"/>
      <c r="AQ52" s="867"/>
      <c r="AR52" s="402"/>
      <c r="AS52" s="389"/>
      <c r="AT52" s="389"/>
      <c r="AU52" s="390"/>
      <c r="AV52" s="391"/>
      <c r="AW52" s="463"/>
      <c r="AX52" s="468"/>
      <c r="AY52" s="397"/>
      <c r="AZ52" s="397"/>
      <c r="BA52" s="397"/>
      <c r="BB52" s="469"/>
      <c r="BC52" s="867"/>
      <c r="BD52" s="388"/>
      <c r="BE52" s="389"/>
      <c r="BF52" s="389"/>
      <c r="BG52" s="390"/>
      <c r="BH52" s="391"/>
      <c r="BI52" s="463"/>
      <c r="BJ52" s="401"/>
      <c r="BK52" s="397"/>
      <c r="BL52" s="397"/>
      <c r="BM52" s="397"/>
      <c r="BN52" s="469"/>
      <c r="BO52" s="867"/>
      <c r="BP52" s="402"/>
      <c r="BQ52" s="389"/>
      <c r="BR52" s="389"/>
      <c r="BS52" s="390"/>
      <c r="BT52" s="391"/>
      <c r="BU52" s="463"/>
    </row>
    <row r="53" spans="1:73" ht="12" customHeight="1" thickBot="1" x14ac:dyDescent="0.25">
      <c r="F53" s="404">
        <f>SUM(F22:F52)</f>
        <v>628.72</v>
      </c>
      <c r="G53" s="405"/>
      <c r="L53" s="404">
        <f>SUM(L22:L52)</f>
        <v>1350.38</v>
      </c>
      <c r="M53" s="406"/>
      <c r="R53" s="404">
        <f>SUM(R22:R52)</f>
        <v>2188.1799999999998</v>
      </c>
      <c r="S53" s="405"/>
      <c r="X53" s="404">
        <f>SUM(X22:X52)</f>
        <v>1872.3</v>
      </c>
      <c r="Y53" s="406"/>
      <c r="AD53" s="404">
        <f>SUM(AD22:AD52)</f>
        <v>2173.4300000000003</v>
      </c>
      <c r="AE53" s="405"/>
      <c r="AJ53" s="404">
        <f>SUM(AJ22:AJ52)</f>
        <v>1503.24</v>
      </c>
      <c r="AK53" s="406"/>
      <c r="AP53" s="404">
        <f>SUM(AP22:AP52)</f>
        <v>1948.7300000000002</v>
      </c>
      <c r="AQ53" s="405"/>
      <c r="AV53" s="404">
        <f>SUM(AV22:AV52)</f>
        <v>1406.57</v>
      </c>
      <c r="AW53" s="406"/>
      <c r="BB53" s="404">
        <f>SUM(BB22:BB52)</f>
        <v>0</v>
      </c>
      <c r="BC53" s="405"/>
      <c r="BH53" s="404">
        <f>SUM(BH22:BH52)</f>
        <v>0</v>
      </c>
      <c r="BI53" s="406"/>
      <c r="BN53" s="404">
        <f>SUM(BN22:BN52)</f>
        <v>0</v>
      </c>
      <c r="BO53" s="405"/>
      <c r="BT53" s="404">
        <f>SUM(BT22:BT52)</f>
        <v>0</v>
      </c>
      <c r="BU53" s="406"/>
    </row>
    <row r="54" spans="1:73" ht="12" customHeight="1" x14ac:dyDescent="0.2">
      <c r="D54" s="470"/>
      <c r="E54" s="470"/>
      <c r="F54" s="409">
        <f>F53</f>
        <v>628.72</v>
      </c>
      <c r="G54" s="405"/>
      <c r="H54" s="409"/>
      <c r="I54" s="409"/>
      <c r="J54" s="471"/>
      <c r="K54" s="471"/>
      <c r="L54" s="409">
        <f>L53-L38</f>
        <v>1350.38</v>
      </c>
      <c r="M54" s="406"/>
      <c r="N54" s="409"/>
      <c r="O54" s="409"/>
      <c r="P54" s="471"/>
      <c r="Q54" s="471"/>
      <c r="R54" s="409">
        <f>R53-R33-R34</f>
        <v>1918.1799999999998</v>
      </c>
      <c r="S54" s="405"/>
      <c r="T54" s="409"/>
      <c r="U54" s="409"/>
      <c r="V54" s="471"/>
      <c r="W54" s="471"/>
      <c r="X54" s="409"/>
      <c r="Y54" s="406"/>
      <c r="Z54" s="409"/>
      <c r="AA54" s="409"/>
      <c r="AB54" s="471"/>
      <c r="AC54" s="471"/>
      <c r="AD54" s="409"/>
      <c r="AE54" s="405"/>
      <c r="AF54" s="409"/>
      <c r="AG54" s="409"/>
      <c r="AH54" s="471"/>
      <c r="AI54" s="471"/>
      <c r="AJ54" s="409"/>
      <c r="AK54" s="406"/>
      <c r="AL54" s="409"/>
      <c r="AM54" s="409"/>
      <c r="AN54" s="471"/>
      <c r="AO54" s="471"/>
      <c r="AP54" s="409"/>
      <c r="AQ54" s="405"/>
      <c r="AR54" s="409"/>
      <c r="AS54" s="409"/>
      <c r="AT54" s="471"/>
      <c r="AU54" s="471"/>
      <c r="AV54" s="409"/>
      <c r="AW54" s="406"/>
      <c r="AX54" s="410"/>
      <c r="AY54" s="409"/>
      <c r="AZ54" s="471"/>
      <c r="BA54" s="471"/>
      <c r="BB54" s="409"/>
      <c r="BC54" s="405"/>
      <c r="BD54" s="409"/>
      <c r="BE54" s="409"/>
      <c r="BF54" s="471"/>
      <c r="BG54" s="471"/>
      <c r="BH54" s="409"/>
      <c r="BI54" s="406"/>
      <c r="BJ54" s="409"/>
      <c r="BK54" s="409"/>
      <c r="BL54" s="471"/>
      <c r="BM54" s="471"/>
      <c r="BN54" s="409"/>
      <c r="BO54" s="405"/>
      <c r="BP54" s="409"/>
      <c r="BQ54" s="409"/>
      <c r="BR54" s="471"/>
      <c r="BS54" s="471"/>
      <c r="BT54" s="409"/>
      <c r="BU54" s="406"/>
    </row>
    <row r="55" spans="1:73" ht="12" customHeight="1" thickBot="1" x14ac:dyDescent="0.25">
      <c r="F55" s="409"/>
      <c r="G55" s="405"/>
      <c r="H55" s="409"/>
      <c r="I55" s="409"/>
      <c r="J55" s="409"/>
      <c r="K55" s="409"/>
      <c r="L55" s="409"/>
      <c r="M55" s="406"/>
      <c r="N55" s="409"/>
      <c r="O55" s="409"/>
      <c r="P55" s="409"/>
      <c r="Q55" s="409"/>
      <c r="R55" s="409"/>
      <c r="S55" s="405"/>
      <c r="T55" s="409"/>
      <c r="U55" s="409"/>
      <c r="V55" s="409"/>
      <c r="W55" s="409"/>
      <c r="X55" s="409"/>
      <c r="Y55" s="406"/>
      <c r="Z55" s="409"/>
      <c r="AA55" s="409"/>
      <c r="AB55" s="409"/>
      <c r="AC55" s="409"/>
      <c r="AD55" s="409"/>
      <c r="AE55" s="405"/>
      <c r="AF55" s="409"/>
      <c r="AG55" s="409"/>
      <c r="AH55" s="409"/>
      <c r="AI55" s="409"/>
      <c r="AJ55" s="409"/>
      <c r="AK55" s="406"/>
      <c r="AL55" s="409"/>
      <c r="AM55" s="409"/>
      <c r="AN55" s="409"/>
      <c r="AO55" s="409"/>
      <c r="AP55" s="409"/>
      <c r="AQ55" s="405"/>
      <c r="AR55" s="409"/>
      <c r="AS55" s="409"/>
      <c r="AT55" s="409"/>
      <c r="AU55" s="409"/>
      <c r="AV55" s="409"/>
      <c r="AW55" s="406"/>
      <c r="AX55" s="410"/>
      <c r="AY55" s="409"/>
      <c r="AZ55" s="409"/>
      <c r="BA55" s="409"/>
      <c r="BB55" s="409"/>
      <c r="BC55" s="405"/>
      <c r="BD55" s="409"/>
      <c r="BE55" s="409"/>
      <c r="BF55" s="409"/>
      <c r="BG55" s="409"/>
      <c r="BH55" s="409"/>
      <c r="BI55" s="406"/>
      <c r="BJ55" s="409"/>
      <c r="BK55" s="409"/>
      <c r="BL55" s="409"/>
      <c r="BM55" s="409"/>
      <c r="BN55" s="409"/>
      <c r="BO55" s="405"/>
      <c r="BP55" s="409"/>
      <c r="BQ55" s="409"/>
      <c r="BR55" s="409"/>
      <c r="BS55" s="409"/>
      <c r="BT55" s="409"/>
      <c r="BU55" s="406"/>
    </row>
    <row r="56" spans="1:73" ht="12" customHeight="1" thickBot="1" x14ac:dyDescent="0.25">
      <c r="A56" s="1119" t="s">
        <v>2</v>
      </c>
      <c r="B56" s="1115" t="s">
        <v>39</v>
      </c>
      <c r="C56" s="1115"/>
      <c r="D56" s="1115"/>
      <c r="E56" s="1115"/>
      <c r="F56" s="1115"/>
      <c r="G56" s="838"/>
      <c r="H56" s="1114" t="s">
        <v>40</v>
      </c>
      <c r="I56" s="1114"/>
      <c r="J56" s="1114"/>
      <c r="K56" s="1114"/>
      <c r="L56" s="1114"/>
      <c r="M56" s="411"/>
      <c r="N56" s="1114" t="s">
        <v>41</v>
      </c>
      <c r="O56" s="1114"/>
      <c r="P56" s="1114"/>
      <c r="Q56" s="1114"/>
      <c r="R56" s="1114"/>
      <c r="S56" s="838"/>
      <c r="T56" s="1114" t="s">
        <v>42</v>
      </c>
      <c r="U56" s="1114"/>
      <c r="V56" s="1114"/>
      <c r="W56" s="1114"/>
      <c r="X56" s="1114"/>
      <c r="Y56" s="411"/>
      <c r="Z56" s="1116" t="s">
        <v>43</v>
      </c>
      <c r="AA56" s="1116"/>
      <c r="AB56" s="1116"/>
      <c r="AC56" s="1116"/>
      <c r="AD56" s="1116"/>
      <c r="AE56" s="838"/>
      <c r="AF56" s="1117" t="s">
        <v>44</v>
      </c>
      <c r="AG56" s="1117"/>
      <c r="AH56" s="1117"/>
      <c r="AI56" s="1117"/>
      <c r="AJ56" s="1117"/>
      <c r="AK56" s="411"/>
      <c r="AL56" s="1118" t="s">
        <v>45</v>
      </c>
      <c r="AM56" s="1118"/>
      <c r="AN56" s="1118"/>
      <c r="AO56" s="1118"/>
      <c r="AP56" s="1118"/>
      <c r="AQ56" s="838"/>
      <c r="AR56" s="1114" t="s">
        <v>46</v>
      </c>
      <c r="AS56" s="1114"/>
      <c r="AT56" s="1114"/>
      <c r="AU56" s="1114"/>
      <c r="AV56" s="1114"/>
      <c r="AW56" s="411"/>
      <c r="AX56" s="1118" t="s">
        <v>47</v>
      </c>
      <c r="AY56" s="1118"/>
      <c r="AZ56" s="1118"/>
      <c r="BA56" s="1118"/>
      <c r="BB56" s="1118"/>
      <c r="BC56" s="838"/>
      <c r="BD56" s="1114" t="s">
        <v>48</v>
      </c>
      <c r="BE56" s="1114"/>
      <c r="BF56" s="1114"/>
      <c r="BG56" s="1114"/>
      <c r="BH56" s="1114"/>
      <c r="BI56" s="411"/>
      <c r="BJ56" s="1115" t="s">
        <v>49</v>
      </c>
      <c r="BK56" s="1115"/>
      <c r="BL56" s="1115"/>
      <c r="BM56" s="1115"/>
      <c r="BN56" s="1115"/>
      <c r="BO56" s="838"/>
      <c r="BP56" s="1114" t="s">
        <v>50</v>
      </c>
      <c r="BQ56" s="1114"/>
      <c r="BR56" s="1114"/>
      <c r="BS56" s="1114"/>
      <c r="BT56" s="1114"/>
      <c r="BU56" s="411"/>
    </row>
    <row r="57" spans="1:73" ht="12" customHeight="1" thickBot="1" x14ac:dyDescent="0.25">
      <c r="A57" s="1119"/>
      <c r="B57" s="854" t="s">
        <v>175</v>
      </c>
      <c r="C57" s="858" t="s">
        <v>176</v>
      </c>
      <c r="D57" s="858" t="s">
        <v>35</v>
      </c>
      <c r="E57" s="859" t="s">
        <v>177</v>
      </c>
      <c r="F57" s="861" t="s">
        <v>178</v>
      </c>
      <c r="G57" s="864" t="s">
        <v>34</v>
      </c>
      <c r="H57" s="854" t="s">
        <v>175</v>
      </c>
      <c r="I57" s="858" t="s">
        <v>176</v>
      </c>
      <c r="J57" s="858" t="s">
        <v>35</v>
      </c>
      <c r="K57" s="859" t="s">
        <v>177</v>
      </c>
      <c r="L57" s="860" t="s">
        <v>178</v>
      </c>
      <c r="M57" s="857" t="s">
        <v>34</v>
      </c>
      <c r="N57" s="854" t="s">
        <v>175</v>
      </c>
      <c r="O57" s="858" t="s">
        <v>176</v>
      </c>
      <c r="P57" s="858" t="s">
        <v>35</v>
      </c>
      <c r="Q57" s="859" t="s">
        <v>177</v>
      </c>
      <c r="R57" s="860" t="s">
        <v>178</v>
      </c>
      <c r="S57" s="864" t="s">
        <v>34</v>
      </c>
      <c r="T57" s="854" t="s">
        <v>175</v>
      </c>
      <c r="U57" s="858" t="s">
        <v>176</v>
      </c>
      <c r="V57" s="858" t="s">
        <v>35</v>
      </c>
      <c r="W57" s="859" t="s">
        <v>177</v>
      </c>
      <c r="X57" s="860" t="s">
        <v>178</v>
      </c>
      <c r="Y57" s="857" t="s">
        <v>34</v>
      </c>
      <c r="Z57" s="854" t="s">
        <v>175</v>
      </c>
      <c r="AA57" s="855" t="s">
        <v>176</v>
      </c>
      <c r="AB57" s="855" t="s">
        <v>35</v>
      </c>
      <c r="AC57" s="855" t="s">
        <v>177</v>
      </c>
      <c r="AD57" s="856" t="s">
        <v>178</v>
      </c>
      <c r="AE57" s="864" t="s">
        <v>34</v>
      </c>
      <c r="AF57" s="858" t="s">
        <v>175</v>
      </c>
      <c r="AG57" s="855" t="s">
        <v>176</v>
      </c>
      <c r="AH57" s="855" t="s">
        <v>35</v>
      </c>
      <c r="AI57" s="855" t="s">
        <v>177</v>
      </c>
      <c r="AJ57" s="856" t="s">
        <v>178</v>
      </c>
      <c r="AK57" s="857" t="s">
        <v>34</v>
      </c>
      <c r="AL57" s="858" t="s">
        <v>175</v>
      </c>
      <c r="AM57" s="858" t="s">
        <v>176</v>
      </c>
      <c r="AN57" s="858" t="s">
        <v>35</v>
      </c>
      <c r="AO57" s="859" t="s">
        <v>177</v>
      </c>
      <c r="AP57" s="861" t="s">
        <v>178</v>
      </c>
      <c r="AQ57" s="864" t="s">
        <v>34</v>
      </c>
      <c r="AR57" s="854" t="s">
        <v>175</v>
      </c>
      <c r="AS57" s="858" t="s">
        <v>176</v>
      </c>
      <c r="AT57" s="858" t="s">
        <v>35</v>
      </c>
      <c r="AU57" s="859" t="s">
        <v>177</v>
      </c>
      <c r="AV57" s="860" t="s">
        <v>178</v>
      </c>
      <c r="AW57" s="857" t="s">
        <v>34</v>
      </c>
      <c r="AX57" s="862" t="s">
        <v>175</v>
      </c>
      <c r="AY57" s="858" t="s">
        <v>176</v>
      </c>
      <c r="AZ57" s="858" t="s">
        <v>35</v>
      </c>
      <c r="BA57" s="859" t="s">
        <v>177</v>
      </c>
      <c r="BB57" s="856" t="s">
        <v>178</v>
      </c>
      <c r="BC57" s="864" t="s">
        <v>34</v>
      </c>
      <c r="BD57" s="854" t="s">
        <v>175</v>
      </c>
      <c r="BE57" s="858" t="s">
        <v>176</v>
      </c>
      <c r="BF57" s="858" t="s">
        <v>35</v>
      </c>
      <c r="BG57" s="859" t="s">
        <v>177</v>
      </c>
      <c r="BH57" s="860" t="s">
        <v>178</v>
      </c>
      <c r="BI57" s="857" t="s">
        <v>34</v>
      </c>
      <c r="BJ57" s="854" t="s">
        <v>175</v>
      </c>
      <c r="BK57" s="858" t="s">
        <v>176</v>
      </c>
      <c r="BL57" s="858" t="s">
        <v>35</v>
      </c>
      <c r="BM57" s="859" t="s">
        <v>177</v>
      </c>
      <c r="BN57" s="856" t="s">
        <v>178</v>
      </c>
      <c r="BO57" s="864" t="s">
        <v>34</v>
      </c>
      <c r="BP57" s="854" t="s">
        <v>175</v>
      </c>
      <c r="BQ57" s="858" t="s">
        <v>176</v>
      </c>
      <c r="BR57" s="858" t="s">
        <v>35</v>
      </c>
      <c r="BS57" s="859" t="s">
        <v>177</v>
      </c>
      <c r="BT57" s="860" t="s">
        <v>178</v>
      </c>
      <c r="BU57" s="857" t="s">
        <v>34</v>
      </c>
    </row>
    <row r="58" spans="1:73" ht="12" customHeight="1" thickBot="1" x14ac:dyDescent="0.25">
      <c r="A58" s="1119"/>
      <c r="B58" s="1042">
        <v>46038</v>
      </c>
      <c r="C58" s="1043" t="s">
        <v>368</v>
      </c>
      <c r="D58" s="1043" t="s">
        <v>369</v>
      </c>
      <c r="E58" s="1044"/>
      <c r="F58" s="1045">
        <v>145</v>
      </c>
      <c r="G58" s="1046" t="s">
        <v>344</v>
      </c>
      <c r="H58" s="414"/>
      <c r="I58" s="415"/>
      <c r="J58" s="415"/>
      <c r="K58" s="416"/>
      <c r="L58" s="417"/>
      <c r="M58" s="863" t="s">
        <v>344</v>
      </c>
      <c r="N58" s="412"/>
      <c r="O58" s="413"/>
      <c r="P58" s="413"/>
      <c r="Q58" s="871"/>
      <c r="R58" s="872"/>
      <c r="S58" s="865" t="s">
        <v>344</v>
      </c>
      <c r="T58" s="414"/>
      <c r="U58" s="415"/>
      <c r="V58" s="415"/>
      <c r="W58" s="416"/>
      <c r="X58" s="417"/>
      <c r="Y58" s="863" t="s">
        <v>344</v>
      </c>
      <c r="Z58" s="846"/>
      <c r="AA58" s="418"/>
      <c r="AB58" s="418"/>
      <c r="AC58" s="418"/>
      <c r="AD58" s="847"/>
      <c r="AE58" s="865"/>
      <c r="AF58" s="1002"/>
      <c r="AG58" s="1003"/>
      <c r="AH58" s="1003"/>
      <c r="AI58" s="1003"/>
      <c r="AJ58" s="1004"/>
      <c r="AK58" s="947" t="s">
        <v>344</v>
      </c>
      <c r="AL58" s="419"/>
      <c r="AM58" s="413"/>
      <c r="AN58" s="413"/>
      <c r="AO58" s="420"/>
      <c r="AP58" s="873"/>
      <c r="AQ58" s="865" t="s">
        <v>344</v>
      </c>
      <c r="AR58" s="874"/>
      <c r="AS58" s="415"/>
      <c r="AT58" s="415"/>
      <c r="AU58" s="416"/>
      <c r="AV58" s="417"/>
      <c r="AW58" s="863" t="s">
        <v>344</v>
      </c>
      <c r="AX58" s="875"/>
      <c r="AY58" s="413"/>
      <c r="AZ58" s="413"/>
      <c r="BA58" s="420"/>
      <c r="BB58" s="421">
        <v>500</v>
      </c>
      <c r="BC58" s="865" t="s">
        <v>344</v>
      </c>
      <c r="BD58" s="414"/>
      <c r="BE58" s="415"/>
      <c r="BF58" s="415"/>
      <c r="BG58" s="416"/>
      <c r="BH58" s="417">
        <v>500</v>
      </c>
      <c r="BI58" s="863" t="s">
        <v>344</v>
      </c>
      <c r="BJ58" s="412"/>
      <c r="BK58" s="413"/>
      <c r="BL58" s="413"/>
      <c r="BM58" s="420"/>
      <c r="BN58" s="421">
        <v>500</v>
      </c>
      <c r="BO58" s="865" t="s">
        <v>344</v>
      </c>
      <c r="BP58" s="414"/>
      <c r="BQ58" s="415"/>
      <c r="BR58" s="415"/>
      <c r="BS58" s="416"/>
      <c r="BT58" s="417">
        <v>500</v>
      </c>
      <c r="BU58" s="863" t="s">
        <v>344</v>
      </c>
    </row>
    <row r="59" spans="1:73" ht="12" customHeight="1" thickBot="1" x14ac:dyDescent="0.25">
      <c r="A59" s="1119"/>
      <c r="B59" s="378">
        <v>46042</v>
      </c>
      <c r="C59" s="373" t="s">
        <v>184</v>
      </c>
      <c r="D59" s="373" t="s">
        <v>376</v>
      </c>
      <c r="E59" s="374"/>
      <c r="F59" s="375">
        <v>11.99</v>
      </c>
      <c r="G59" s="866" t="s">
        <v>350</v>
      </c>
      <c r="H59" s="1047">
        <v>46057</v>
      </c>
      <c r="I59" s="1048" t="s">
        <v>411</v>
      </c>
      <c r="J59" s="1048"/>
      <c r="K59" s="1049"/>
      <c r="L59" s="1050">
        <v>94.5</v>
      </c>
      <c r="M59" s="1051" t="s">
        <v>344</v>
      </c>
      <c r="N59" s="1039">
        <v>46104</v>
      </c>
      <c r="O59" s="1036" t="s">
        <v>427</v>
      </c>
      <c r="P59" s="1036"/>
      <c r="Q59" s="1037"/>
      <c r="R59" s="1052">
        <v>140</v>
      </c>
      <c r="S59" s="870" t="s">
        <v>344</v>
      </c>
      <c r="T59" s="414">
        <v>46137</v>
      </c>
      <c r="U59" s="415" t="s">
        <v>456</v>
      </c>
      <c r="V59" s="415"/>
      <c r="W59" s="416"/>
      <c r="X59" s="417">
        <v>1.05</v>
      </c>
      <c r="Y59" s="424" t="s">
        <v>350</v>
      </c>
      <c r="Z59" s="846">
        <v>46148</v>
      </c>
      <c r="AA59" s="418" t="s">
        <v>359</v>
      </c>
      <c r="AB59" s="418"/>
      <c r="AC59" s="418"/>
      <c r="AD59" s="847">
        <v>90.62</v>
      </c>
      <c r="AE59" s="865" t="s">
        <v>350</v>
      </c>
      <c r="AF59" s="370">
        <v>46179</v>
      </c>
      <c r="AG59" s="383" t="s">
        <v>1</v>
      </c>
      <c r="AH59" s="383"/>
      <c r="AI59" s="383"/>
      <c r="AJ59" s="426">
        <v>50</v>
      </c>
      <c r="AK59" s="424" t="s">
        <v>350</v>
      </c>
      <c r="AL59" s="428">
        <v>46205</v>
      </c>
      <c r="AM59" s="373" t="s">
        <v>507</v>
      </c>
      <c r="AN59" s="373"/>
      <c r="AO59" s="374"/>
      <c r="AP59" s="475">
        <v>30</v>
      </c>
      <c r="AQ59" s="866" t="s">
        <v>350</v>
      </c>
      <c r="AR59" s="724">
        <v>46242</v>
      </c>
      <c r="AS59" s="379" t="s">
        <v>185</v>
      </c>
      <c r="AT59" s="379"/>
      <c r="AU59" s="380"/>
      <c r="AV59" s="369">
        <v>12.95</v>
      </c>
      <c r="AW59" s="424" t="s">
        <v>350</v>
      </c>
      <c r="AX59" s="446"/>
      <c r="AY59" s="373"/>
      <c r="AZ59" s="373"/>
      <c r="BA59" s="374"/>
      <c r="BB59" s="375"/>
      <c r="BC59" s="866"/>
      <c r="BD59" s="366"/>
      <c r="BE59" s="367"/>
      <c r="BF59" s="367"/>
      <c r="BG59" s="368"/>
      <c r="BH59" s="369"/>
      <c r="BI59" s="424"/>
      <c r="BJ59" s="378"/>
      <c r="BK59" s="373"/>
      <c r="BL59" s="373"/>
      <c r="BM59" s="374"/>
      <c r="BN59" s="375"/>
      <c r="BO59" s="866"/>
      <c r="BP59" s="366"/>
      <c r="BQ59" s="367"/>
      <c r="BR59" s="367"/>
      <c r="BS59" s="368"/>
      <c r="BT59" s="369"/>
      <c r="BU59" s="424"/>
    </row>
    <row r="60" spans="1:73" ht="12" customHeight="1" thickBot="1" x14ac:dyDescent="0.25">
      <c r="A60" s="1119"/>
      <c r="B60" s="378">
        <v>46045</v>
      </c>
      <c r="C60" s="373" t="s">
        <v>378</v>
      </c>
      <c r="D60" s="373" t="s">
        <v>377</v>
      </c>
      <c r="E60" s="374"/>
      <c r="F60" s="375">
        <v>132.34</v>
      </c>
      <c r="G60" s="866" t="s">
        <v>350</v>
      </c>
      <c r="H60" s="1047">
        <v>46070</v>
      </c>
      <c r="I60" s="1048" t="s">
        <v>411</v>
      </c>
      <c r="J60" s="1048"/>
      <c r="K60" s="1049"/>
      <c r="L60" s="1050">
        <v>97.5</v>
      </c>
      <c r="M60" s="1051" t="s">
        <v>344</v>
      </c>
      <c r="N60" s="474"/>
      <c r="O60" s="373"/>
      <c r="P60" s="373"/>
      <c r="Q60" s="374"/>
      <c r="R60" s="476"/>
      <c r="S60" s="866"/>
      <c r="T60" s="376"/>
      <c r="U60" s="367"/>
      <c r="V60" s="367"/>
      <c r="W60" s="368"/>
      <c r="X60" s="369"/>
      <c r="Y60" s="424"/>
      <c r="Z60" s="1039">
        <v>46170</v>
      </c>
      <c r="AA60" s="1040" t="s">
        <v>482</v>
      </c>
      <c r="AB60" s="1040"/>
      <c r="AC60" s="1040"/>
      <c r="AD60" s="1041">
        <v>185</v>
      </c>
      <c r="AE60" s="870" t="s">
        <v>344</v>
      </c>
      <c r="AF60" s="370">
        <v>46182</v>
      </c>
      <c r="AG60" s="383" t="s">
        <v>359</v>
      </c>
      <c r="AH60" s="383"/>
      <c r="AI60" s="383"/>
      <c r="AJ60" s="426">
        <v>25.98</v>
      </c>
      <c r="AK60" s="424" t="s">
        <v>350</v>
      </c>
      <c r="AL60" s="428">
        <v>46219</v>
      </c>
      <c r="AM60" s="373" t="s">
        <v>359</v>
      </c>
      <c r="AN60" s="373"/>
      <c r="AO60" s="374"/>
      <c r="AP60" s="472">
        <v>19.989999999999998</v>
      </c>
      <c r="AQ60" s="866" t="s">
        <v>350</v>
      </c>
      <c r="AR60" s="724">
        <v>46242</v>
      </c>
      <c r="AS60" s="367" t="s">
        <v>534</v>
      </c>
      <c r="AT60" s="367"/>
      <c r="AU60" s="368"/>
      <c r="AV60" s="369">
        <v>8.26</v>
      </c>
      <c r="AW60" s="424" t="s">
        <v>350</v>
      </c>
      <c r="AX60" s="446"/>
      <c r="AY60" s="373"/>
      <c r="AZ60" s="373"/>
      <c r="BA60" s="374"/>
      <c r="BB60" s="375"/>
      <c r="BC60" s="866"/>
      <c r="BD60" s="366"/>
      <c r="BE60" s="367"/>
      <c r="BF60" s="367"/>
      <c r="BG60" s="368"/>
      <c r="BH60" s="369"/>
      <c r="BI60" s="424"/>
      <c r="BJ60" s="378"/>
      <c r="BK60" s="373"/>
      <c r="BL60" s="373"/>
      <c r="BM60" s="374"/>
      <c r="BN60" s="375"/>
      <c r="BO60" s="866"/>
      <c r="BP60" s="366"/>
      <c r="BQ60" s="367"/>
      <c r="BR60" s="367"/>
      <c r="BS60" s="368"/>
      <c r="BT60" s="369"/>
      <c r="BU60" s="424"/>
    </row>
    <row r="61" spans="1:73" ht="12" customHeight="1" thickBot="1" x14ac:dyDescent="0.25">
      <c r="A61" s="1119"/>
      <c r="B61" s="378">
        <v>46045</v>
      </c>
      <c r="C61" s="373" t="s">
        <v>379</v>
      </c>
      <c r="D61" s="373"/>
      <c r="E61" s="374"/>
      <c r="F61" s="375">
        <v>7.8</v>
      </c>
      <c r="G61" s="866" t="s">
        <v>350</v>
      </c>
      <c r="H61" s="366">
        <v>46073</v>
      </c>
      <c r="I61" s="367" t="s">
        <v>184</v>
      </c>
      <c r="J61" s="367"/>
      <c r="K61" s="368"/>
      <c r="L61" s="369">
        <v>8.99</v>
      </c>
      <c r="M61" s="424" t="s">
        <v>350</v>
      </c>
      <c r="N61" s="474"/>
      <c r="O61" s="373"/>
      <c r="P61" s="373"/>
      <c r="Q61" s="374"/>
      <c r="R61" s="476"/>
      <c r="S61" s="866"/>
      <c r="T61" s="376"/>
      <c r="U61" s="367"/>
      <c r="V61" s="367"/>
      <c r="W61" s="368"/>
      <c r="X61" s="369"/>
      <c r="Y61" s="424"/>
      <c r="Z61" s="378">
        <v>46171</v>
      </c>
      <c r="AA61" s="363" t="s">
        <v>483</v>
      </c>
      <c r="AB61" s="363"/>
      <c r="AC61" s="363"/>
      <c r="AD61" s="364">
        <v>31.8</v>
      </c>
      <c r="AE61" s="866" t="s">
        <v>350</v>
      </c>
      <c r="AF61" s="370">
        <v>46182</v>
      </c>
      <c r="AG61" s="383" t="s">
        <v>186</v>
      </c>
      <c r="AH61" s="383"/>
      <c r="AI61" s="383"/>
      <c r="AJ61" s="426">
        <v>9.99</v>
      </c>
      <c r="AK61" s="424" t="s">
        <v>350</v>
      </c>
      <c r="AL61" s="428">
        <v>46222</v>
      </c>
      <c r="AM61" s="373" t="s">
        <v>520</v>
      </c>
      <c r="AN61" s="373" t="s">
        <v>516</v>
      </c>
      <c r="AO61" s="374"/>
      <c r="AP61" s="375">
        <v>6.4</v>
      </c>
      <c r="AQ61" s="866" t="s">
        <v>350</v>
      </c>
      <c r="AR61" s="724">
        <v>46245</v>
      </c>
      <c r="AS61" s="367" t="s">
        <v>507</v>
      </c>
      <c r="AT61" s="367"/>
      <c r="AU61" s="368"/>
      <c r="AV61" s="369">
        <v>50</v>
      </c>
      <c r="AW61" s="424" t="s">
        <v>350</v>
      </c>
      <c r="AX61" s="446"/>
      <c r="AY61" s="373"/>
      <c r="AZ61" s="373"/>
      <c r="BA61" s="374"/>
      <c r="BB61" s="375"/>
      <c r="BC61" s="866"/>
      <c r="BD61" s="366"/>
      <c r="BE61" s="367"/>
      <c r="BF61" s="367"/>
      <c r="BG61" s="368"/>
      <c r="BH61" s="369"/>
      <c r="BI61" s="424"/>
      <c r="BJ61" s="378"/>
      <c r="BK61" s="373"/>
      <c r="BL61" s="373"/>
      <c r="BM61" s="374"/>
      <c r="BN61" s="375"/>
      <c r="BO61" s="866"/>
      <c r="BP61" s="366"/>
      <c r="BQ61" s="367"/>
      <c r="BR61" s="367"/>
      <c r="BS61" s="368"/>
      <c r="BT61" s="369"/>
      <c r="BU61" s="424"/>
    </row>
    <row r="62" spans="1:73" ht="12" customHeight="1" thickBot="1" x14ac:dyDescent="0.25">
      <c r="A62" s="1119"/>
      <c r="B62" s="378">
        <v>46047</v>
      </c>
      <c r="C62" s="373" t="s">
        <v>380</v>
      </c>
      <c r="D62" s="373"/>
      <c r="E62" s="374"/>
      <c r="F62" s="375">
        <v>99.95</v>
      </c>
      <c r="G62" s="866" t="s">
        <v>350</v>
      </c>
      <c r="H62" s="376"/>
      <c r="I62" s="367"/>
      <c r="J62" s="367"/>
      <c r="K62" s="368"/>
      <c r="L62" s="369"/>
      <c r="M62" s="424"/>
      <c r="N62" s="474"/>
      <c r="O62" s="373"/>
      <c r="P62" s="373"/>
      <c r="Q62" s="374"/>
      <c r="R62" s="476"/>
      <c r="S62" s="866"/>
      <c r="T62" s="376"/>
      <c r="U62" s="367"/>
      <c r="V62" s="367"/>
      <c r="W62" s="368"/>
      <c r="X62" s="369"/>
      <c r="Y62" s="424"/>
      <c r="Z62" s="474"/>
      <c r="AA62" s="363"/>
      <c r="AB62" s="363"/>
      <c r="AC62" s="363"/>
      <c r="AD62" s="364"/>
      <c r="AE62" s="866"/>
      <c r="AF62" s="370">
        <v>46184</v>
      </c>
      <c r="AG62" s="383" t="s">
        <v>186</v>
      </c>
      <c r="AH62" s="383"/>
      <c r="AI62" s="383"/>
      <c r="AJ62" s="426">
        <v>42.94</v>
      </c>
      <c r="AK62" s="424" t="s">
        <v>350</v>
      </c>
      <c r="AL62" s="428">
        <v>46224</v>
      </c>
      <c r="AM62" s="373" t="s">
        <v>517</v>
      </c>
      <c r="AN62" s="373" t="s">
        <v>518</v>
      </c>
      <c r="AO62" s="374"/>
      <c r="AP62" s="375">
        <v>5.55</v>
      </c>
      <c r="AQ62" s="866" t="s">
        <v>350</v>
      </c>
      <c r="AR62" s="724">
        <v>46255</v>
      </c>
      <c r="AS62" s="367" t="s">
        <v>549</v>
      </c>
      <c r="AT62" s="367"/>
      <c r="AU62" s="368"/>
      <c r="AV62" s="369">
        <v>25.8</v>
      </c>
      <c r="AW62" s="424" t="s">
        <v>350</v>
      </c>
      <c r="AX62" s="446"/>
      <c r="AY62" s="373"/>
      <c r="AZ62" s="373"/>
      <c r="BA62" s="374"/>
      <c r="BB62" s="375"/>
      <c r="BC62" s="866"/>
      <c r="BD62" s="366"/>
      <c r="BE62" s="367"/>
      <c r="BF62" s="367"/>
      <c r="BG62" s="368"/>
      <c r="BH62" s="442"/>
      <c r="BI62" s="424"/>
      <c r="BJ62" s="378"/>
      <c r="BK62" s="373"/>
      <c r="BL62" s="373"/>
      <c r="BM62" s="374"/>
      <c r="BN62" s="375"/>
      <c r="BO62" s="866"/>
      <c r="BP62" s="366"/>
      <c r="BQ62" s="367"/>
      <c r="BR62" s="367"/>
      <c r="BS62" s="368"/>
      <c r="BT62" s="369"/>
      <c r="BU62" s="424"/>
    </row>
    <row r="63" spans="1:73" ht="12" customHeight="1" thickBot="1" x14ac:dyDescent="0.25">
      <c r="A63" s="1119"/>
      <c r="B63" s="378">
        <v>46048</v>
      </c>
      <c r="C63" s="373" t="s">
        <v>381</v>
      </c>
      <c r="D63" s="373" t="s">
        <v>382</v>
      </c>
      <c r="E63" s="374"/>
      <c r="F63" s="375">
        <v>20.68</v>
      </c>
      <c r="G63" s="866" t="s">
        <v>350</v>
      </c>
      <c r="H63" s="376"/>
      <c r="I63" s="367"/>
      <c r="J63" s="367"/>
      <c r="K63" s="368"/>
      <c r="L63" s="369"/>
      <c r="M63" s="424"/>
      <c r="N63" s="474"/>
      <c r="O63" s="373"/>
      <c r="P63" s="373"/>
      <c r="Q63" s="374"/>
      <c r="R63" s="476"/>
      <c r="S63" s="866"/>
      <c r="T63" s="376"/>
      <c r="U63" s="367"/>
      <c r="V63" s="367"/>
      <c r="W63" s="368"/>
      <c r="X63" s="369"/>
      <c r="Y63" s="424"/>
      <c r="Z63" s="382"/>
      <c r="AA63" s="363"/>
      <c r="AB63" s="363"/>
      <c r="AC63" s="363"/>
      <c r="AD63" s="364"/>
      <c r="AE63" s="866"/>
      <c r="AF63" s="370">
        <v>46184</v>
      </c>
      <c r="AG63" s="383" t="s">
        <v>476</v>
      </c>
      <c r="AH63" s="383"/>
      <c r="AI63" s="383"/>
      <c r="AJ63" s="426">
        <v>7.5</v>
      </c>
      <c r="AK63" s="424" t="s">
        <v>350</v>
      </c>
      <c r="AL63" s="428">
        <v>46224</v>
      </c>
      <c r="AM63" s="373" t="s">
        <v>517</v>
      </c>
      <c r="AN63" s="373" t="s">
        <v>518</v>
      </c>
      <c r="AO63" s="374"/>
      <c r="AP63" s="375">
        <v>1.6</v>
      </c>
      <c r="AQ63" s="866" t="s">
        <v>350</v>
      </c>
      <c r="AR63" s="724">
        <v>46259</v>
      </c>
      <c r="AS63" s="367" t="s">
        <v>185</v>
      </c>
      <c r="AT63" s="367"/>
      <c r="AU63" s="368"/>
      <c r="AV63" s="369">
        <v>4.05</v>
      </c>
      <c r="AW63" s="424" t="s">
        <v>350</v>
      </c>
      <c r="AX63" s="446"/>
      <c r="AY63" s="373"/>
      <c r="AZ63" s="373"/>
      <c r="BA63" s="374"/>
      <c r="BB63" s="375"/>
      <c r="BC63" s="866"/>
      <c r="BD63" s="366"/>
      <c r="BE63" s="477"/>
      <c r="BF63" s="477"/>
      <c r="BG63" s="478"/>
      <c r="BH63" s="442"/>
      <c r="BI63" s="424"/>
      <c r="BJ63" s="378"/>
      <c r="BK63" s="373"/>
      <c r="BL63" s="373"/>
      <c r="BM63" s="374"/>
      <c r="BN63" s="375"/>
      <c r="BO63" s="866"/>
      <c r="BP63" s="366"/>
      <c r="BQ63" s="367"/>
      <c r="BR63" s="367"/>
      <c r="BS63" s="368"/>
      <c r="BT63" s="369"/>
      <c r="BU63" s="424"/>
    </row>
    <row r="64" spans="1:73" ht="12" customHeight="1" thickBot="1" x14ac:dyDescent="0.25">
      <c r="A64" s="1119"/>
      <c r="B64" s="378">
        <v>46048</v>
      </c>
      <c r="C64" s="373" t="s">
        <v>383</v>
      </c>
      <c r="D64" s="373"/>
      <c r="E64" s="374"/>
      <c r="F64" s="375">
        <v>91.31</v>
      </c>
      <c r="G64" s="866" t="s">
        <v>350</v>
      </c>
      <c r="H64" s="376"/>
      <c r="I64" s="367"/>
      <c r="J64" s="367"/>
      <c r="K64" s="368"/>
      <c r="L64" s="369"/>
      <c r="M64" s="424"/>
      <c r="N64" s="474"/>
      <c r="O64" s="373"/>
      <c r="P64" s="373"/>
      <c r="Q64" s="374"/>
      <c r="R64" s="476"/>
      <c r="S64" s="866"/>
      <c r="T64" s="376"/>
      <c r="U64" s="367"/>
      <c r="V64" s="367"/>
      <c r="W64" s="368"/>
      <c r="X64" s="369"/>
      <c r="Y64" s="424"/>
      <c r="Z64" s="382"/>
      <c r="AA64" s="363"/>
      <c r="AB64" s="363"/>
      <c r="AC64" s="363"/>
      <c r="AD64" s="364"/>
      <c r="AE64" s="866"/>
      <c r="AF64" s="367"/>
      <c r="AG64" s="383"/>
      <c r="AH64" s="383"/>
      <c r="AI64" s="383"/>
      <c r="AJ64" s="426"/>
      <c r="AK64" s="424"/>
      <c r="AL64" s="1035">
        <v>46225</v>
      </c>
      <c r="AM64" s="1036" t="s">
        <v>519</v>
      </c>
      <c r="AN64" s="1036"/>
      <c r="AO64" s="1037"/>
      <c r="AP64" s="1038">
        <v>127</v>
      </c>
      <c r="AQ64" s="870" t="s">
        <v>344</v>
      </c>
      <c r="AR64" s="724"/>
      <c r="AS64" s="367"/>
      <c r="AT64" s="367"/>
      <c r="AU64" s="368"/>
      <c r="AV64" s="369"/>
      <c r="AW64" s="424"/>
      <c r="AX64" s="446"/>
      <c r="AY64" s="373"/>
      <c r="AZ64" s="373"/>
      <c r="BA64" s="374"/>
      <c r="BB64" s="375"/>
      <c r="BC64" s="866"/>
      <c r="BD64" s="366"/>
      <c r="BE64" s="477"/>
      <c r="BF64" s="477"/>
      <c r="BG64" s="478"/>
      <c r="BH64" s="442"/>
      <c r="BI64" s="424"/>
      <c r="BJ64" s="378"/>
      <c r="BK64" s="373"/>
      <c r="BL64" s="373"/>
      <c r="BM64" s="374"/>
      <c r="BN64" s="375"/>
      <c r="BO64" s="866"/>
      <c r="BP64" s="366"/>
      <c r="BQ64" s="367"/>
      <c r="BR64" s="367"/>
      <c r="BS64" s="368"/>
      <c r="BT64" s="369"/>
      <c r="BU64" s="424"/>
    </row>
    <row r="65" spans="1:75" ht="12" customHeight="1" thickBot="1" x14ac:dyDescent="0.25">
      <c r="A65" s="1119"/>
      <c r="B65" s="378">
        <v>46049</v>
      </c>
      <c r="C65" s="373" t="s">
        <v>384</v>
      </c>
      <c r="D65" s="373"/>
      <c r="E65" s="374"/>
      <c r="F65" s="375">
        <v>23.83</v>
      </c>
      <c r="G65" s="866" t="s">
        <v>350</v>
      </c>
      <c r="H65" s="376"/>
      <c r="I65" s="367"/>
      <c r="J65" s="367"/>
      <c r="K65" s="368"/>
      <c r="L65" s="369"/>
      <c r="M65" s="424"/>
      <c r="N65" s="474"/>
      <c r="O65" s="373"/>
      <c r="P65" s="373"/>
      <c r="Q65" s="374"/>
      <c r="R65" s="476"/>
      <c r="S65" s="866"/>
      <c r="T65" s="376"/>
      <c r="U65" s="477"/>
      <c r="V65" s="477"/>
      <c r="W65" s="478"/>
      <c r="X65" s="369"/>
      <c r="Y65" s="424"/>
      <c r="Z65" s="382"/>
      <c r="AA65" s="363"/>
      <c r="AB65" s="363"/>
      <c r="AC65" s="363"/>
      <c r="AD65" s="364"/>
      <c r="AE65" s="866"/>
      <c r="AF65" s="367"/>
      <c r="AG65" s="383"/>
      <c r="AH65" s="383"/>
      <c r="AI65" s="383"/>
      <c r="AJ65" s="426"/>
      <c r="AK65" s="424"/>
      <c r="AL65" s="428">
        <v>46226</v>
      </c>
      <c r="AM65" s="373" t="s">
        <v>507</v>
      </c>
      <c r="AN65" s="373"/>
      <c r="AO65" s="374"/>
      <c r="AP65" s="375">
        <v>50</v>
      </c>
      <c r="AQ65" s="866" t="s">
        <v>350</v>
      </c>
      <c r="AR65" s="724"/>
      <c r="AS65" s="367"/>
      <c r="AT65" s="367"/>
      <c r="AU65" s="368"/>
      <c r="AV65" s="369"/>
      <c r="AW65" s="424"/>
      <c r="AX65" s="446"/>
      <c r="AY65" s="373"/>
      <c r="AZ65" s="373"/>
      <c r="BA65" s="374"/>
      <c r="BB65" s="375"/>
      <c r="BC65" s="866"/>
      <c r="BD65" s="366"/>
      <c r="BE65" s="367"/>
      <c r="BF65" s="367"/>
      <c r="BG65" s="368"/>
      <c r="BH65" s="369"/>
      <c r="BI65" s="424"/>
      <c r="BJ65" s="378"/>
      <c r="BK65" s="373"/>
      <c r="BL65" s="373"/>
      <c r="BM65" s="374"/>
      <c r="BN65" s="375"/>
      <c r="BO65" s="866"/>
      <c r="BP65" s="366"/>
      <c r="BQ65" s="367"/>
      <c r="BR65" s="367"/>
      <c r="BS65" s="368"/>
      <c r="BT65" s="369"/>
      <c r="BU65" s="424"/>
    </row>
    <row r="66" spans="1:75" ht="12" customHeight="1" thickBot="1" x14ac:dyDescent="0.25">
      <c r="A66" s="1119"/>
      <c r="B66" s="378">
        <v>46049</v>
      </c>
      <c r="C66" s="373" t="s">
        <v>378</v>
      </c>
      <c r="D66" s="373"/>
      <c r="E66" s="374"/>
      <c r="F66" s="375">
        <v>11.54</v>
      </c>
      <c r="G66" s="866" t="s">
        <v>350</v>
      </c>
      <c r="H66" s="376"/>
      <c r="I66" s="367"/>
      <c r="J66" s="367"/>
      <c r="K66" s="368"/>
      <c r="L66" s="369"/>
      <c r="M66" s="424"/>
      <c r="N66" s="474"/>
      <c r="O66" s="373"/>
      <c r="P66" s="373"/>
      <c r="Q66" s="374"/>
      <c r="R66" s="476"/>
      <c r="S66" s="866"/>
      <c r="T66" s="376"/>
      <c r="U66" s="367"/>
      <c r="V66" s="367"/>
      <c r="W66" s="368"/>
      <c r="X66" s="369"/>
      <c r="Y66" s="424"/>
      <c r="Z66" s="382"/>
      <c r="AA66" s="363"/>
      <c r="AB66" s="363"/>
      <c r="AC66" s="363"/>
      <c r="AD66" s="364"/>
      <c r="AE66" s="866"/>
      <c r="AF66" s="367"/>
      <c r="AG66" s="383"/>
      <c r="AH66" s="383"/>
      <c r="AI66" s="383"/>
      <c r="AJ66" s="426"/>
      <c r="AK66" s="424"/>
      <c r="AL66" s="428">
        <v>46228</v>
      </c>
      <c r="AM66" s="373" t="s">
        <v>517</v>
      </c>
      <c r="AN66" s="373" t="s">
        <v>518</v>
      </c>
      <c r="AO66" s="374"/>
      <c r="AP66" s="375">
        <v>1.6</v>
      </c>
      <c r="AQ66" s="866" t="s">
        <v>350</v>
      </c>
      <c r="AR66" s="724"/>
      <c r="AS66" s="367"/>
      <c r="AT66" s="367"/>
      <c r="AU66" s="368"/>
      <c r="AV66" s="369"/>
      <c r="AW66" s="424"/>
      <c r="AX66" s="473"/>
      <c r="AY66" s="373"/>
      <c r="AZ66" s="373"/>
      <c r="BA66" s="374"/>
      <c r="BB66" s="375"/>
      <c r="BC66" s="866"/>
      <c r="BD66" s="366"/>
      <c r="BE66" s="367"/>
      <c r="BF66" s="367"/>
      <c r="BG66" s="368"/>
      <c r="BH66" s="369"/>
      <c r="BI66" s="424"/>
      <c r="BJ66" s="378"/>
      <c r="BK66" s="373"/>
      <c r="BL66" s="373"/>
      <c r="BM66" s="374"/>
      <c r="BN66" s="375"/>
      <c r="BO66" s="866"/>
      <c r="BP66" s="366"/>
      <c r="BQ66" s="367"/>
      <c r="BR66" s="367"/>
      <c r="BS66" s="368"/>
      <c r="BT66" s="369"/>
      <c r="BU66" s="424"/>
    </row>
    <row r="67" spans="1:75" ht="12" customHeight="1" thickBot="1" x14ac:dyDescent="0.25">
      <c r="A67" s="1119"/>
      <c r="B67" s="936"/>
      <c r="C67" s="937"/>
      <c r="D67" s="937"/>
      <c r="E67" s="938"/>
      <c r="F67" s="939"/>
      <c r="G67" s="940"/>
      <c r="H67" s="376"/>
      <c r="I67" s="367"/>
      <c r="J67" s="367"/>
      <c r="K67" s="368"/>
      <c r="L67" s="369"/>
      <c r="M67" s="424"/>
      <c r="N67" s="474"/>
      <c r="O67" s="373"/>
      <c r="P67" s="373"/>
      <c r="Q67" s="374"/>
      <c r="R67" s="476"/>
      <c r="S67" s="866"/>
      <c r="T67" s="376"/>
      <c r="U67" s="367"/>
      <c r="V67" s="367"/>
      <c r="W67" s="368"/>
      <c r="X67" s="369"/>
      <c r="Y67" s="424"/>
      <c r="Z67" s="382"/>
      <c r="AA67" s="363"/>
      <c r="AB67" s="363"/>
      <c r="AC67" s="363"/>
      <c r="AD67" s="364"/>
      <c r="AE67" s="866"/>
      <c r="AF67" s="367"/>
      <c r="AG67" s="383"/>
      <c r="AH67" s="383"/>
      <c r="AI67" s="383"/>
      <c r="AJ67" s="426"/>
      <c r="AK67" s="424"/>
      <c r="AL67" s="428">
        <v>46228</v>
      </c>
      <c r="AM67" s="373" t="s">
        <v>517</v>
      </c>
      <c r="AN67" s="373" t="s">
        <v>518</v>
      </c>
      <c r="AO67" s="374"/>
      <c r="AP67" s="375">
        <v>1.1000000000000001</v>
      </c>
      <c r="AQ67" s="866" t="s">
        <v>350</v>
      </c>
      <c r="AR67" s="724"/>
      <c r="AS67" s="367"/>
      <c r="AT67" s="367"/>
      <c r="AU67" s="368"/>
      <c r="AV67" s="369"/>
      <c r="AW67" s="424"/>
      <c r="AX67" s="473"/>
      <c r="AY67" s="373"/>
      <c r="AZ67" s="373"/>
      <c r="BA67" s="374"/>
      <c r="BB67" s="375"/>
      <c r="BC67" s="866"/>
      <c r="BD67" s="366"/>
      <c r="BE67" s="367"/>
      <c r="BF67" s="367"/>
      <c r="BG67" s="368"/>
      <c r="BH67" s="369"/>
      <c r="BI67" s="424"/>
      <c r="BJ67" s="378"/>
      <c r="BK67" s="373"/>
      <c r="BL67" s="373"/>
      <c r="BM67" s="374"/>
      <c r="BN67" s="375"/>
      <c r="BO67" s="866"/>
      <c r="BP67" s="366"/>
      <c r="BQ67" s="367"/>
      <c r="BR67" s="367"/>
      <c r="BS67" s="368"/>
      <c r="BT67" s="369"/>
      <c r="BU67" s="424"/>
    </row>
    <row r="68" spans="1:75" ht="12" customHeight="1" thickBot="1" x14ac:dyDescent="0.25">
      <c r="A68" s="1119"/>
      <c r="B68" s="474"/>
      <c r="C68" s="373"/>
      <c r="D68" s="373"/>
      <c r="E68" s="374"/>
      <c r="F68" s="932"/>
      <c r="G68" s="866"/>
      <c r="H68" s="479"/>
      <c r="I68" s="480"/>
      <c r="J68" s="480"/>
      <c r="K68" s="481"/>
      <c r="L68" s="482"/>
      <c r="M68" s="424"/>
      <c r="N68" s="474"/>
      <c r="O68" s="373"/>
      <c r="P68" s="373"/>
      <c r="Q68" s="374"/>
      <c r="R68" s="476"/>
      <c r="S68" s="866"/>
      <c r="T68" s="376"/>
      <c r="U68" s="367"/>
      <c r="V68" s="367"/>
      <c r="W68" s="368"/>
      <c r="X68" s="369"/>
      <c r="Y68" s="424"/>
      <c r="Z68" s="382"/>
      <c r="AA68" s="363"/>
      <c r="AB68" s="363"/>
      <c r="AC68" s="363"/>
      <c r="AD68" s="364"/>
      <c r="AE68" s="866"/>
      <c r="AF68" s="367"/>
      <c r="AG68" s="383"/>
      <c r="AH68" s="383"/>
      <c r="AI68" s="383"/>
      <c r="AJ68" s="426"/>
      <c r="AK68" s="424"/>
      <c r="AL68" s="428">
        <v>46229</v>
      </c>
      <c r="AM68" s="373" t="s">
        <v>517</v>
      </c>
      <c r="AN68" s="373" t="s">
        <v>518</v>
      </c>
      <c r="AO68" s="374"/>
      <c r="AP68" s="375">
        <v>0.95</v>
      </c>
      <c r="AQ68" s="866" t="s">
        <v>350</v>
      </c>
      <c r="AR68" s="724"/>
      <c r="AS68" s="367"/>
      <c r="AT68" s="367"/>
      <c r="AU68" s="368"/>
      <c r="AV68" s="369"/>
      <c r="AW68" s="424"/>
      <c r="AX68" s="473"/>
      <c r="AY68" s="373"/>
      <c r="AZ68" s="373"/>
      <c r="BA68" s="374"/>
      <c r="BB68" s="375"/>
      <c r="BC68" s="866"/>
      <c r="BD68" s="366"/>
      <c r="BE68" s="367"/>
      <c r="BF68" s="367"/>
      <c r="BG68" s="368"/>
      <c r="BH68" s="369"/>
      <c r="BI68" s="424"/>
      <c r="BJ68" s="378"/>
      <c r="BK68" s="373"/>
      <c r="BL68" s="373"/>
      <c r="BM68" s="374"/>
      <c r="BN68" s="375"/>
      <c r="BO68" s="866"/>
      <c r="BP68" s="366"/>
      <c r="BQ68" s="367"/>
      <c r="BR68" s="367"/>
      <c r="BS68" s="368"/>
      <c r="BT68" s="369"/>
      <c r="BU68" s="424"/>
    </row>
    <row r="69" spans="1:75" ht="12" customHeight="1" thickBot="1" x14ac:dyDescent="0.25">
      <c r="A69" s="1119"/>
      <c r="B69" s="474"/>
      <c r="C69" s="373"/>
      <c r="D69" s="373"/>
      <c r="E69" s="374"/>
      <c r="F69" s="423"/>
      <c r="G69" s="866"/>
      <c r="H69" s="376"/>
      <c r="I69" s="383"/>
      <c r="J69" s="383"/>
      <c r="K69" s="384"/>
      <c r="L69" s="482"/>
      <c r="M69" s="424"/>
      <c r="N69" s="474"/>
      <c r="O69" s="373"/>
      <c r="P69" s="373"/>
      <c r="Q69" s="374"/>
      <c r="R69" s="476"/>
      <c r="S69" s="866"/>
      <c r="T69" s="376"/>
      <c r="U69" s="367"/>
      <c r="V69" s="367"/>
      <c r="W69" s="368"/>
      <c r="X69" s="369"/>
      <c r="Y69" s="424"/>
      <c r="Z69" s="382"/>
      <c r="AA69" s="363"/>
      <c r="AB69" s="363"/>
      <c r="AC69" s="363"/>
      <c r="AD69" s="364"/>
      <c r="AE69" s="866"/>
      <c r="AF69" s="367"/>
      <c r="AG69" s="383"/>
      <c r="AH69" s="383"/>
      <c r="AI69" s="383"/>
      <c r="AJ69" s="426"/>
      <c r="AK69" s="424"/>
      <c r="AL69" s="428">
        <v>46232</v>
      </c>
      <c r="AM69" s="373" t="s">
        <v>184</v>
      </c>
      <c r="AN69" s="373"/>
      <c r="AO69" s="374"/>
      <c r="AP69" s="375">
        <v>17.77</v>
      </c>
      <c r="AQ69" s="866" t="s">
        <v>350</v>
      </c>
      <c r="AR69" s="724"/>
      <c r="AS69" s="367"/>
      <c r="AT69" s="367"/>
      <c r="AU69" s="368"/>
      <c r="AV69" s="369"/>
      <c r="AW69" s="424"/>
      <c r="AX69" s="473"/>
      <c r="AY69" s="373"/>
      <c r="AZ69" s="373"/>
      <c r="BA69" s="374"/>
      <c r="BB69" s="375"/>
      <c r="BC69" s="866"/>
      <c r="BD69" s="366"/>
      <c r="BE69" s="367"/>
      <c r="BF69" s="367"/>
      <c r="BG69" s="368"/>
      <c r="BH69" s="369"/>
      <c r="BI69" s="424"/>
      <c r="BJ69" s="378"/>
      <c r="BK69" s="373"/>
      <c r="BL69" s="373"/>
      <c r="BM69" s="374"/>
      <c r="BN69" s="375"/>
      <c r="BO69" s="866"/>
      <c r="BP69" s="366"/>
      <c r="BQ69" s="367"/>
      <c r="BR69" s="367"/>
      <c r="BS69" s="368"/>
      <c r="BT69" s="369"/>
      <c r="BU69" s="424"/>
    </row>
    <row r="70" spans="1:75" ht="12" customHeight="1" thickBot="1" x14ac:dyDescent="0.25">
      <c r="A70" s="1119"/>
      <c r="B70" s="474"/>
      <c r="C70" s="373"/>
      <c r="D70" s="373"/>
      <c r="E70" s="374"/>
      <c r="F70" s="423"/>
      <c r="G70" s="866"/>
      <c r="H70" s="483"/>
      <c r="I70" s="379"/>
      <c r="J70" s="379"/>
      <c r="K70" s="380"/>
      <c r="L70" s="482"/>
      <c r="M70" s="424"/>
      <c r="N70" s="474"/>
      <c r="O70" s="373"/>
      <c r="P70" s="373"/>
      <c r="Q70" s="374"/>
      <c r="R70" s="476"/>
      <c r="S70" s="866"/>
      <c r="T70" s="376"/>
      <c r="U70" s="367"/>
      <c r="V70" s="367"/>
      <c r="W70" s="368"/>
      <c r="X70" s="369"/>
      <c r="Y70" s="424"/>
      <c r="Z70" s="382"/>
      <c r="AA70" s="363"/>
      <c r="AB70" s="363"/>
      <c r="AC70" s="363"/>
      <c r="AD70" s="364"/>
      <c r="AE70" s="866"/>
      <c r="AF70" s="367"/>
      <c r="AG70" s="383"/>
      <c r="AH70" s="383"/>
      <c r="AI70" s="383"/>
      <c r="AJ70" s="426"/>
      <c r="AK70" s="424"/>
      <c r="AL70" s="428">
        <v>46232</v>
      </c>
      <c r="AM70" s="373" t="s">
        <v>507</v>
      </c>
      <c r="AN70" s="373"/>
      <c r="AO70" s="374"/>
      <c r="AP70" s="375">
        <v>52</v>
      </c>
      <c r="AQ70" s="866" t="s">
        <v>350</v>
      </c>
      <c r="AR70" s="724"/>
      <c r="AS70" s="367"/>
      <c r="AT70" s="367"/>
      <c r="AU70" s="368"/>
      <c r="AV70" s="369"/>
      <c r="AW70" s="424"/>
      <c r="AX70" s="473"/>
      <c r="AY70" s="373"/>
      <c r="AZ70" s="373"/>
      <c r="BA70" s="374"/>
      <c r="BB70" s="375"/>
      <c r="BC70" s="866"/>
      <c r="BD70" s="366"/>
      <c r="BE70" s="367"/>
      <c r="BF70" s="367"/>
      <c r="BG70" s="368"/>
      <c r="BH70" s="369"/>
      <c r="BI70" s="424"/>
      <c r="BJ70" s="378"/>
      <c r="BK70" s="373"/>
      <c r="BL70" s="373"/>
      <c r="BM70" s="374"/>
      <c r="BN70" s="375"/>
      <c r="BO70" s="866"/>
      <c r="BP70" s="366"/>
      <c r="BQ70" s="367"/>
      <c r="BR70" s="367"/>
      <c r="BS70" s="368"/>
      <c r="BT70" s="369"/>
      <c r="BU70" s="424"/>
    </row>
    <row r="71" spans="1:75" ht="12" customHeight="1" thickBot="1" x14ac:dyDescent="0.25">
      <c r="A71" s="1119"/>
      <c r="B71" s="474"/>
      <c r="C71" s="373"/>
      <c r="D71" s="373"/>
      <c r="E71" s="374"/>
      <c r="F71" s="423"/>
      <c r="G71" s="866"/>
      <c r="H71" s="376"/>
      <c r="I71" s="383"/>
      <c r="J71" s="383"/>
      <c r="K71" s="384"/>
      <c r="L71" s="482"/>
      <c r="M71" s="424"/>
      <c r="N71" s="474"/>
      <c r="O71" s="373"/>
      <c r="P71" s="373"/>
      <c r="Q71" s="374"/>
      <c r="R71" s="476"/>
      <c r="S71" s="866"/>
      <c r="T71" s="376"/>
      <c r="U71" s="367"/>
      <c r="V71" s="367"/>
      <c r="W71" s="368"/>
      <c r="X71" s="369"/>
      <c r="Y71" s="424"/>
      <c r="Z71" s="382"/>
      <c r="AA71" s="363"/>
      <c r="AB71" s="363"/>
      <c r="AC71" s="363"/>
      <c r="AD71" s="364"/>
      <c r="AE71" s="866"/>
      <c r="AF71" s="367"/>
      <c r="AG71" s="383"/>
      <c r="AH71" s="383"/>
      <c r="AI71" s="383"/>
      <c r="AJ71" s="426"/>
      <c r="AK71" s="424"/>
      <c r="AL71" s="373"/>
      <c r="AM71" s="373"/>
      <c r="AN71" s="373"/>
      <c r="AO71" s="374"/>
      <c r="AP71" s="375"/>
      <c r="AQ71" s="866"/>
      <c r="AR71" s="724"/>
      <c r="AS71" s="367"/>
      <c r="AT71" s="367"/>
      <c r="AU71" s="368"/>
      <c r="AV71" s="369"/>
      <c r="AW71" s="424"/>
      <c r="AX71" s="473"/>
      <c r="AY71" s="373"/>
      <c r="AZ71" s="373"/>
      <c r="BA71" s="374"/>
      <c r="BB71" s="375"/>
      <c r="BC71" s="866"/>
      <c r="BD71" s="366"/>
      <c r="BE71" s="367"/>
      <c r="BF71" s="367"/>
      <c r="BG71" s="368"/>
      <c r="BH71" s="369"/>
      <c r="BI71" s="424"/>
      <c r="BJ71" s="378"/>
      <c r="BK71" s="373"/>
      <c r="BL71" s="373"/>
      <c r="BM71" s="374"/>
      <c r="BN71" s="375"/>
      <c r="BO71" s="866"/>
      <c r="BP71" s="366"/>
      <c r="BQ71" s="367"/>
      <c r="BR71" s="367"/>
      <c r="BS71" s="368"/>
      <c r="BT71" s="369"/>
      <c r="BU71" s="424"/>
    </row>
    <row r="72" spans="1:75" ht="12" customHeight="1" thickBot="1" x14ac:dyDescent="0.25">
      <c r="A72" s="1119"/>
      <c r="B72" s="474"/>
      <c r="C72" s="373"/>
      <c r="D72" s="373"/>
      <c r="E72" s="374"/>
      <c r="F72" s="423"/>
      <c r="G72" s="866"/>
      <c r="H72" s="376"/>
      <c r="I72" s="383"/>
      <c r="J72" s="383"/>
      <c r="K72" s="384"/>
      <c r="L72" s="482"/>
      <c r="M72" s="424"/>
      <c r="N72" s="474"/>
      <c r="O72" s="373"/>
      <c r="P72" s="373"/>
      <c r="Q72" s="374"/>
      <c r="R72" s="476"/>
      <c r="S72" s="866"/>
      <c r="T72" s="376"/>
      <c r="U72" s="367"/>
      <c r="V72" s="367"/>
      <c r="W72" s="368"/>
      <c r="X72" s="369"/>
      <c r="Y72" s="424"/>
      <c r="Z72" s="382"/>
      <c r="AA72" s="363"/>
      <c r="AB72" s="363"/>
      <c r="AC72" s="363"/>
      <c r="AD72" s="364"/>
      <c r="AE72" s="866"/>
      <c r="AF72" s="429"/>
      <c r="AG72" s="379"/>
      <c r="AH72" s="379"/>
      <c r="AI72" s="379"/>
      <c r="AJ72" s="426"/>
      <c r="AK72" s="424"/>
      <c r="AL72" s="373"/>
      <c r="AM72" s="373"/>
      <c r="AN72" s="373"/>
      <c r="AO72" s="374"/>
      <c r="AP72" s="375"/>
      <c r="AQ72" s="866"/>
      <c r="AR72" s="724"/>
      <c r="AS72" s="367"/>
      <c r="AT72" s="367"/>
      <c r="AU72" s="368"/>
      <c r="AV72" s="369"/>
      <c r="AW72" s="424"/>
      <c r="AX72" s="484"/>
      <c r="AY72" s="373"/>
      <c r="AZ72" s="373"/>
      <c r="BA72" s="374"/>
      <c r="BB72" s="375"/>
      <c r="BC72" s="866"/>
      <c r="BD72" s="366"/>
      <c r="BE72" s="367"/>
      <c r="BF72" s="367"/>
      <c r="BG72" s="368"/>
      <c r="BH72" s="369"/>
      <c r="BI72" s="424"/>
      <c r="BJ72" s="378"/>
      <c r="BK72" s="373"/>
      <c r="BL72" s="373"/>
      <c r="BM72" s="374"/>
      <c r="BN72" s="375"/>
      <c r="BO72" s="866"/>
      <c r="BP72" s="366"/>
      <c r="BQ72" s="367"/>
      <c r="BR72" s="367"/>
      <c r="BS72" s="368"/>
      <c r="BT72" s="369"/>
      <c r="BU72" s="424"/>
    </row>
    <row r="73" spans="1:75" ht="12" customHeight="1" thickBot="1" x14ac:dyDescent="0.25">
      <c r="A73" s="1119"/>
      <c r="B73" s="474"/>
      <c r="C73" s="373"/>
      <c r="D73" s="373"/>
      <c r="E73" s="374"/>
      <c r="F73" s="423"/>
      <c r="G73" s="866"/>
      <c r="H73" s="366"/>
      <c r="I73" s="367"/>
      <c r="J73" s="367"/>
      <c r="K73" s="368"/>
      <c r="L73" s="482"/>
      <c r="M73" s="424"/>
      <c r="N73" s="378"/>
      <c r="O73" s="373"/>
      <c r="P73" s="373"/>
      <c r="Q73" s="374"/>
      <c r="R73" s="476"/>
      <c r="S73" s="866"/>
      <c r="T73" s="376"/>
      <c r="U73" s="367"/>
      <c r="V73" s="367"/>
      <c r="W73" s="368"/>
      <c r="X73" s="369"/>
      <c r="Y73" s="424"/>
      <c r="Z73" s="382"/>
      <c r="AA73" s="363"/>
      <c r="AB73" s="363"/>
      <c r="AC73" s="363"/>
      <c r="AD73" s="364"/>
      <c r="AE73" s="866"/>
      <c r="AF73" s="367"/>
      <c r="AG73" s="383"/>
      <c r="AH73" s="383"/>
      <c r="AI73" s="383"/>
      <c r="AJ73" s="426"/>
      <c r="AK73" s="424"/>
      <c r="AL73" s="373"/>
      <c r="AM73" s="373"/>
      <c r="AN73" s="373"/>
      <c r="AO73" s="374"/>
      <c r="AP73" s="375"/>
      <c r="AQ73" s="866"/>
      <c r="AR73" s="724"/>
      <c r="AS73" s="367"/>
      <c r="AT73" s="367"/>
      <c r="AU73" s="368"/>
      <c r="AV73" s="369"/>
      <c r="AW73" s="424"/>
      <c r="AX73" s="484"/>
      <c r="AY73" s="373"/>
      <c r="AZ73" s="373"/>
      <c r="BA73" s="374"/>
      <c r="BB73" s="375"/>
      <c r="BC73" s="866"/>
      <c r="BD73" s="366"/>
      <c r="BE73" s="367"/>
      <c r="BF73" s="367"/>
      <c r="BG73" s="368"/>
      <c r="BH73" s="369"/>
      <c r="BI73" s="424"/>
      <c r="BJ73" s="378"/>
      <c r="BK73" s="373"/>
      <c r="BL73" s="373"/>
      <c r="BM73" s="374"/>
      <c r="BN73" s="375"/>
      <c r="BO73" s="866"/>
      <c r="BP73" s="366"/>
      <c r="BQ73" s="367"/>
      <c r="BR73" s="367"/>
      <c r="BS73" s="368"/>
      <c r="BT73" s="369"/>
      <c r="BU73" s="424"/>
    </row>
    <row r="74" spans="1:75" ht="12" customHeight="1" thickBot="1" x14ac:dyDescent="0.25">
      <c r="A74" s="1119"/>
      <c r="B74" s="464"/>
      <c r="C74" s="397"/>
      <c r="D74" s="397"/>
      <c r="E74" s="398"/>
      <c r="F74" s="485"/>
      <c r="G74" s="867"/>
      <c r="H74" s="402"/>
      <c r="I74" s="389"/>
      <c r="J74" s="389"/>
      <c r="K74" s="390"/>
      <c r="L74" s="486"/>
      <c r="M74" s="463"/>
      <c r="N74" s="401"/>
      <c r="O74" s="397"/>
      <c r="P74" s="397"/>
      <c r="Q74" s="398"/>
      <c r="R74" s="487"/>
      <c r="S74" s="867"/>
      <c r="T74" s="388"/>
      <c r="U74" s="389"/>
      <c r="V74" s="389"/>
      <c r="W74" s="390"/>
      <c r="X74" s="391"/>
      <c r="Y74" s="463"/>
      <c r="Z74" s="385"/>
      <c r="AA74" s="386"/>
      <c r="AB74" s="386"/>
      <c r="AC74" s="386"/>
      <c r="AD74" s="387"/>
      <c r="AE74" s="867"/>
      <c r="AF74" s="461"/>
      <c r="AG74" s="465"/>
      <c r="AH74" s="465"/>
      <c r="AI74" s="465"/>
      <c r="AJ74" s="466"/>
      <c r="AK74" s="463"/>
      <c r="AL74" s="467"/>
      <c r="AM74" s="397"/>
      <c r="AN74" s="397"/>
      <c r="AO74" s="398"/>
      <c r="AP74" s="399"/>
      <c r="AQ74" s="867"/>
      <c r="AR74" s="725"/>
      <c r="AS74" s="389"/>
      <c r="AT74" s="389"/>
      <c r="AU74" s="390"/>
      <c r="AV74" s="391"/>
      <c r="AW74" s="463"/>
      <c r="AX74" s="468"/>
      <c r="AY74" s="397"/>
      <c r="AZ74" s="397"/>
      <c r="BA74" s="397"/>
      <c r="BB74" s="469"/>
      <c r="BC74" s="867"/>
      <c r="BD74" s="402"/>
      <c r="BE74" s="389"/>
      <c r="BF74" s="389"/>
      <c r="BG74" s="390"/>
      <c r="BH74" s="391"/>
      <c r="BI74" s="463"/>
      <c r="BJ74" s="401"/>
      <c r="BK74" s="397"/>
      <c r="BL74" s="397"/>
      <c r="BM74" s="397"/>
      <c r="BN74" s="469"/>
      <c r="BO74" s="867"/>
      <c r="BP74" s="402"/>
      <c r="BQ74" s="389"/>
      <c r="BR74" s="389"/>
      <c r="BS74" s="390"/>
      <c r="BT74" s="391"/>
      <c r="BU74" s="463"/>
    </row>
    <row r="75" spans="1:75" ht="12" customHeight="1" thickBot="1" x14ac:dyDescent="0.25">
      <c r="F75" s="404">
        <f>SUM(F58:F74)</f>
        <v>544.44000000000005</v>
      </c>
      <c r="G75" s="405"/>
      <c r="L75" s="404">
        <f>SUM(L58:L74)</f>
        <v>200.99</v>
      </c>
      <c r="M75" s="406"/>
      <c r="R75" s="404">
        <f>SUM(R58:R74)</f>
        <v>140</v>
      </c>
      <c r="S75" s="405"/>
      <c r="X75" s="404">
        <f>SUM(X58:X74)</f>
        <v>1.05</v>
      </c>
      <c r="Y75" s="406"/>
      <c r="AD75" s="404">
        <f>SUM(AD58:AD74)</f>
        <v>307.42</v>
      </c>
      <c r="AE75" s="405"/>
      <c r="AJ75" s="404">
        <f>SUM(AJ58:AJ74)</f>
        <v>136.41</v>
      </c>
      <c r="AK75" s="406"/>
      <c r="AP75" s="404">
        <f>SUM(AP58:AP74)</f>
        <v>313.95999999999998</v>
      </c>
      <c r="AQ75" s="405"/>
      <c r="AV75" s="404">
        <f>SUM(AV58:AV74)</f>
        <v>101.06</v>
      </c>
      <c r="AW75" s="406"/>
      <c r="BB75" s="404">
        <f>SUM(BB58:BB74)</f>
        <v>500</v>
      </c>
      <c r="BC75" s="405"/>
      <c r="BH75" s="404">
        <f>SUM(BH58:BH74)</f>
        <v>500</v>
      </c>
      <c r="BI75" s="406"/>
      <c r="BN75" s="404">
        <f>SUM(BN58:BN74)</f>
        <v>500</v>
      </c>
      <c r="BO75" s="405"/>
      <c r="BT75" s="404">
        <f>SUM(BT58:BT74)</f>
        <v>500</v>
      </c>
      <c r="BU75" s="406"/>
    </row>
    <row r="76" spans="1:75" ht="12" customHeight="1" x14ac:dyDescent="0.2">
      <c r="F76" s="409"/>
      <c r="G76" s="405"/>
      <c r="L76" s="409"/>
      <c r="M76" s="406"/>
      <c r="R76" s="409"/>
      <c r="S76" s="405"/>
      <c r="X76" s="409"/>
      <c r="Y76" s="406"/>
      <c r="AD76" s="409"/>
      <c r="AE76" s="405"/>
      <c r="AJ76" s="409"/>
      <c r="AK76" s="406"/>
      <c r="AP76" s="409"/>
      <c r="AQ76" s="405"/>
      <c r="AV76" s="409"/>
      <c r="AW76" s="406"/>
      <c r="BB76" s="409"/>
      <c r="BC76" s="405"/>
      <c r="BH76" s="409"/>
      <c r="BI76" s="406"/>
      <c r="BN76" s="409"/>
      <c r="BO76" s="405"/>
      <c r="BT76" s="409"/>
      <c r="BU76" s="406"/>
    </row>
    <row r="78" spans="1:75" s="359" customFormat="1" ht="23.25" customHeight="1" x14ac:dyDescent="0.2">
      <c r="F78" s="488">
        <f>F17+F75+F53</f>
        <v>1677.53</v>
      </c>
      <c r="G78" s="405"/>
      <c r="H78" s="489"/>
      <c r="I78" s="489"/>
      <c r="J78" s="489"/>
      <c r="K78" s="489"/>
      <c r="L78" s="488">
        <f>L17+L75+L53</f>
        <v>1573.6100000000001</v>
      </c>
      <c r="M78" s="406"/>
      <c r="N78" s="489"/>
      <c r="O78" s="489"/>
      <c r="P78" s="489"/>
      <c r="Q78" s="489"/>
      <c r="R78" s="488">
        <f>R17+R75+R53</f>
        <v>3972.3199999999997</v>
      </c>
      <c r="S78" s="405"/>
      <c r="T78" s="489"/>
      <c r="U78" s="489"/>
      <c r="V78" s="489"/>
      <c r="W78" s="489"/>
      <c r="X78" s="488">
        <f>X17+X75+X53</f>
        <v>4667.9400000000005</v>
      </c>
      <c r="Y78" s="406"/>
      <c r="Z78" s="489"/>
      <c r="AA78" s="489"/>
      <c r="AB78" s="489"/>
      <c r="AC78" s="489"/>
      <c r="AD78" s="488">
        <f>AD17+AD75+AD53</f>
        <v>2600.1000000000004</v>
      </c>
      <c r="AE78" s="405"/>
      <c r="AF78" s="489"/>
      <c r="AG78" s="489"/>
      <c r="AH78" s="489"/>
      <c r="AI78" s="489"/>
      <c r="AJ78" s="488">
        <f>AJ17+AJ75+AJ53</f>
        <v>2977.95</v>
      </c>
      <c r="AK78" s="406"/>
      <c r="AL78" s="489"/>
      <c r="AM78" s="489"/>
      <c r="AN78" s="489"/>
      <c r="AO78" s="489"/>
      <c r="AP78" s="488">
        <f>AP17+AP75+AP53</f>
        <v>3450.78</v>
      </c>
      <c r="AQ78" s="405"/>
      <c r="AR78" s="489"/>
      <c r="AS78" s="489"/>
      <c r="AT78" s="489"/>
      <c r="AU78" s="489"/>
      <c r="AV78" s="488">
        <f>AV17+AV75+AV53</f>
        <v>1701.25</v>
      </c>
      <c r="AW78" s="406"/>
      <c r="AX78" s="490"/>
      <c r="AY78" s="489"/>
      <c r="AZ78" s="489"/>
      <c r="BA78" s="489"/>
      <c r="BB78" s="488">
        <f>BB17+BB75+BB53</f>
        <v>500</v>
      </c>
      <c r="BC78" s="405"/>
      <c r="BD78" s="489"/>
      <c r="BE78" s="489"/>
      <c r="BF78" s="489"/>
      <c r="BG78" s="489"/>
      <c r="BH78" s="488">
        <f>BH17+BH75+BH53</f>
        <v>500</v>
      </c>
      <c r="BI78" s="406"/>
      <c r="BJ78" s="489"/>
      <c r="BK78" s="489"/>
      <c r="BL78" s="489"/>
      <c r="BM78" s="489"/>
      <c r="BN78" s="488">
        <f>BN17+BN75+BN53</f>
        <v>500</v>
      </c>
      <c r="BO78" s="405"/>
      <c r="BP78" s="489"/>
      <c r="BQ78" s="489"/>
      <c r="BR78" s="489"/>
      <c r="BS78" s="489"/>
      <c r="BT78" s="488">
        <f>BT17+BT75+BT53</f>
        <v>500</v>
      </c>
      <c r="BU78" s="406"/>
      <c r="BV78" s="488">
        <f>SUM(F78:BT78)</f>
        <v>24621.48</v>
      </c>
      <c r="BW78" s="491" t="s">
        <v>182</v>
      </c>
    </row>
    <row r="79" spans="1:75" ht="12" customHeight="1" x14ac:dyDescent="0.2">
      <c r="M79" s="406"/>
      <c r="Y79" s="406"/>
      <c r="AJ79" s="409"/>
      <c r="AK79" s="406"/>
      <c r="AL79" s="409"/>
      <c r="AP79" s="409"/>
      <c r="AW79" s="406"/>
      <c r="BI79" s="406"/>
      <c r="BU79" s="406"/>
    </row>
    <row r="80" spans="1:75" ht="12" customHeight="1" x14ac:dyDescent="0.2">
      <c r="M80" s="406"/>
      <c r="Y80" s="406"/>
      <c r="AJ80" s="409"/>
      <c r="AK80" s="406"/>
      <c r="AO80" s="492"/>
      <c r="AP80" s="492"/>
      <c r="AR80" s="493"/>
      <c r="AS80" s="493"/>
      <c r="AW80" s="406"/>
      <c r="BI80" s="406"/>
      <c r="BU80" s="406"/>
    </row>
    <row r="81" spans="1:73" ht="12" customHeight="1" x14ac:dyDescent="0.2">
      <c r="B81" s="494">
        <v>46024</v>
      </c>
      <c r="C81" s="363" t="s">
        <v>347</v>
      </c>
      <c r="D81" s="363"/>
      <c r="E81" s="500"/>
      <c r="F81" s="495">
        <v>16.29</v>
      </c>
      <c r="G81" s="496" t="s">
        <v>350</v>
      </c>
      <c r="H81" s="370">
        <v>46032</v>
      </c>
      <c r="I81" s="367" t="s">
        <v>365</v>
      </c>
      <c r="J81" s="426"/>
      <c r="K81" s="426"/>
      <c r="L81" s="426">
        <v>40.6</v>
      </c>
      <c r="M81" s="497" t="s">
        <v>350</v>
      </c>
      <c r="N81" s="494">
        <v>46083</v>
      </c>
      <c r="O81" s="363" t="s">
        <v>406</v>
      </c>
      <c r="P81" s="363"/>
      <c r="Q81" s="495"/>
      <c r="R81" s="364">
        <v>339</v>
      </c>
      <c r="S81" s="496" t="s">
        <v>350</v>
      </c>
      <c r="T81" s="941">
        <v>46112</v>
      </c>
      <c r="U81" s="992" t="s">
        <v>406</v>
      </c>
      <c r="V81" s="943"/>
      <c r="W81" s="943"/>
      <c r="X81" s="943">
        <v>13.95</v>
      </c>
      <c r="Y81" s="944" t="s">
        <v>350</v>
      </c>
      <c r="Z81" s="494">
        <v>46141</v>
      </c>
      <c r="AA81" s="363" t="s">
        <v>387</v>
      </c>
      <c r="AB81" s="363"/>
      <c r="AC81" s="505"/>
      <c r="AD81" s="364">
        <v>20.2</v>
      </c>
      <c r="AE81" s="496" t="s">
        <v>350</v>
      </c>
      <c r="AF81" s="941">
        <v>46172</v>
      </c>
      <c r="AG81" s="942" t="s">
        <v>367</v>
      </c>
      <c r="AH81" s="943"/>
      <c r="AI81" s="506">
        <v>94.77</v>
      </c>
      <c r="AJ81" s="943">
        <v>94.77</v>
      </c>
      <c r="AK81" s="944" t="s">
        <v>350</v>
      </c>
      <c r="AL81" s="494"/>
      <c r="AM81" s="363"/>
      <c r="AN81" s="363"/>
      <c r="AO81" s="505"/>
      <c r="AP81" s="364"/>
      <c r="AQ81" s="496"/>
      <c r="AR81" s="370">
        <v>46235</v>
      </c>
      <c r="AS81" s="367" t="s">
        <v>185</v>
      </c>
      <c r="AT81" s="426"/>
      <c r="AU81" s="426"/>
      <c r="AV81" s="943">
        <v>46.74</v>
      </c>
      <c r="AW81" s="944" t="s">
        <v>350</v>
      </c>
      <c r="AX81" s="494"/>
      <c r="AY81" s="363"/>
      <c r="AZ81" s="363"/>
      <c r="BA81" s="495"/>
      <c r="BB81" s="364"/>
      <c r="BC81" s="496"/>
      <c r="BD81" s="370"/>
      <c r="BE81" s="367"/>
      <c r="BF81" s="426"/>
      <c r="BG81" s="426"/>
      <c r="BH81" s="437"/>
      <c r="BI81" s="498"/>
      <c r="BJ81" s="494"/>
      <c r="BK81" s="363"/>
      <c r="BL81" s="363"/>
      <c r="BM81" s="495"/>
      <c r="BN81" s="364"/>
      <c r="BO81" s="496"/>
      <c r="BP81" s="370"/>
      <c r="BQ81" s="367"/>
      <c r="BR81" s="426"/>
      <c r="BS81" s="426"/>
      <c r="BT81" s="437"/>
      <c r="BU81" s="498"/>
    </row>
    <row r="82" spans="1:73" ht="12" customHeight="1" x14ac:dyDescent="0.2">
      <c r="B82" s="494">
        <v>46024</v>
      </c>
      <c r="C82" s="363" t="s">
        <v>185</v>
      </c>
      <c r="D82" s="363" t="s">
        <v>348</v>
      </c>
      <c r="E82" s="500"/>
      <c r="F82" s="495">
        <v>39.9</v>
      </c>
      <c r="G82" s="496" t="s">
        <v>350</v>
      </c>
      <c r="H82" s="370">
        <v>46032</v>
      </c>
      <c r="I82" s="367" t="s">
        <v>366</v>
      </c>
      <c r="J82" s="426"/>
      <c r="K82" s="426"/>
      <c r="L82" s="426">
        <v>50</v>
      </c>
      <c r="M82" s="497" t="s">
        <v>350</v>
      </c>
      <c r="N82" s="494">
        <v>46085</v>
      </c>
      <c r="O82" s="363" t="s">
        <v>403</v>
      </c>
      <c r="P82" s="363"/>
      <c r="Q82" s="495"/>
      <c r="R82" s="364">
        <v>34.82</v>
      </c>
      <c r="S82" s="496" t="s">
        <v>350</v>
      </c>
      <c r="T82" s="941">
        <v>46113</v>
      </c>
      <c r="U82" s="942" t="s">
        <v>36</v>
      </c>
      <c r="V82" s="943"/>
      <c r="W82" s="943"/>
      <c r="X82" s="943">
        <v>43.23</v>
      </c>
      <c r="Y82" s="944" t="s">
        <v>350</v>
      </c>
      <c r="Z82" s="494">
        <v>46142</v>
      </c>
      <c r="AA82" s="363" t="s">
        <v>457</v>
      </c>
      <c r="AB82" s="363"/>
      <c r="AC82" s="505">
        <v>26.74</v>
      </c>
      <c r="AD82" s="364">
        <v>6.54</v>
      </c>
      <c r="AE82" s="496" t="s">
        <v>350</v>
      </c>
      <c r="AF82" s="941">
        <v>46173</v>
      </c>
      <c r="AG82" s="942" t="s">
        <v>479</v>
      </c>
      <c r="AH82" s="943"/>
      <c r="AI82" s="943"/>
      <c r="AJ82" s="943">
        <v>60.51</v>
      </c>
      <c r="AK82" s="944" t="s">
        <v>350</v>
      </c>
      <c r="AL82" s="494"/>
      <c r="AM82" s="363"/>
      <c r="AN82" s="363"/>
      <c r="AO82" s="505"/>
      <c r="AP82" s="364"/>
      <c r="AQ82" s="496"/>
      <c r="AR82" s="370">
        <v>46237</v>
      </c>
      <c r="AS82" s="367" t="s">
        <v>532</v>
      </c>
      <c r="AT82" s="426"/>
      <c r="AU82" s="426"/>
      <c r="AV82" s="943">
        <v>5.9</v>
      </c>
      <c r="AW82" s="944" t="s">
        <v>350</v>
      </c>
      <c r="AX82" s="494"/>
      <c r="AY82" s="363"/>
      <c r="AZ82" s="363"/>
      <c r="BA82" s="495"/>
      <c r="BB82" s="364"/>
      <c r="BC82" s="496"/>
      <c r="BD82" s="370"/>
      <c r="BE82" s="367"/>
      <c r="BF82" s="426"/>
      <c r="BG82" s="426"/>
      <c r="BH82" s="437"/>
      <c r="BI82" s="498"/>
      <c r="BJ82" s="494"/>
      <c r="BK82" s="363"/>
      <c r="BL82" s="363"/>
      <c r="BM82" s="495"/>
      <c r="BN82" s="364"/>
      <c r="BO82" s="496"/>
      <c r="BP82" s="370"/>
      <c r="BQ82" s="367"/>
      <c r="BR82" s="426"/>
      <c r="BS82" s="426"/>
      <c r="BT82" s="437"/>
      <c r="BU82" s="498"/>
    </row>
    <row r="83" spans="1:73" ht="12" customHeight="1" x14ac:dyDescent="0.2">
      <c r="B83" s="494">
        <v>46025</v>
      </c>
      <c r="C83" s="363" t="s">
        <v>185</v>
      </c>
      <c r="D83" s="363"/>
      <c r="E83" s="500"/>
      <c r="F83" s="495">
        <v>36.49</v>
      </c>
      <c r="G83" s="496" t="s">
        <v>350</v>
      </c>
      <c r="H83" s="370">
        <v>46038</v>
      </c>
      <c r="I83" s="367" t="s">
        <v>359</v>
      </c>
      <c r="J83" s="426"/>
      <c r="K83" s="426"/>
      <c r="L83" s="426">
        <v>24.28</v>
      </c>
      <c r="M83" s="497" t="s">
        <v>350</v>
      </c>
      <c r="N83" s="494">
        <v>46086</v>
      </c>
      <c r="O83" s="363" t="s">
        <v>407</v>
      </c>
      <c r="P83" s="363"/>
      <c r="Q83" s="495"/>
      <c r="R83" s="364">
        <v>60</v>
      </c>
      <c r="S83" s="496" t="s">
        <v>350</v>
      </c>
      <c r="T83" s="941">
        <v>46113</v>
      </c>
      <c r="U83" s="942" t="s">
        <v>428</v>
      </c>
      <c r="V83" s="943"/>
      <c r="W83" s="943"/>
      <c r="X83" s="943">
        <v>39.58</v>
      </c>
      <c r="Y83" s="944" t="s">
        <v>350</v>
      </c>
      <c r="Z83" s="494">
        <v>46143</v>
      </c>
      <c r="AA83" s="363" t="s">
        <v>458</v>
      </c>
      <c r="AB83" s="363"/>
      <c r="AC83" s="505"/>
      <c r="AD83" s="364">
        <v>15.85</v>
      </c>
      <c r="AE83" s="496" t="s">
        <v>350</v>
      </c>
      <c r="AF83" s="941">
        <v>46175</v>
      </c>
      <c r="AG83" s="942" t="s">
        <v>480</v>
      </c>
      <c r="AH83" s="943"/>
      <c r="AI83" s="943"/>
      <c r="AJ83" s="943">
        <v>6.1</v>
      </c>
      <c r="AK83" s="944" t="s">
        <v>350</v>
      </c>
      <c r="AL83" s="494"/>
      <c r="AM83" s="363"/>
      <c r="AN83" s="363"/>
      <c r="AO83" s="505"/>
      <c r="AP83" s="364"/>
      <c r="AQ83" s="496"/>
      <c r="AR83" s="370">
        <v>46239</v>
      </c>
      <c r="AS83" s="367" t="s">
        <v>531</v>
      </c>
      <c r="AT83" s="426"/>
      <c r="AU83" s="426"/>
      <c r="AV83" s="943">
        <v>13.9</v>
      </c>
      <c r="AW83" s="944" t="s">
        <v>350</v>
      </c>
      <c r="AX83" s="494"/>
      <c r="AY83" s="363"/>
      <c r="AZ83" s="363"/>
      <c r="BA83" s="495"/>
      <c r="BB83" s="364"/>
      <c r="BC83" s="496"/>
      <c r="BD83" s="370"/>
      <c r="BE83" s="367"/>
      <c r="BF83" s="426"/>
      <c r="BG83" s="426"/>
      <c r="BH83" s="437"/>
      <c r="BI83" s="498"/>
      <c r="BJ83" s="494"/>
      <c r="BK83" s="363"/>
      <c r="BL83" s="363"/>
      <c r="BM83" s="495"/>
      <c r="BN83" s="364"/>
      <c r="BO83" s="496"/>
      <c r="BP83" s="370"/>
      <c r="BQ83" s="367"/>
      <c r="BR83" s="426"/>
      <c r="BS83" s="426"/>
      <c r="BT83" s="437"/>
      <c r="BU83" s="498"/>
    </row>
    <row r="84" spans="1:73" ht="12" customHeight="1" x14ac:dyDescent="0.2">
      <c r="B84" s="494">
        <v>46025</v>
      </c>
      <c r="C84" s="363" t="s">
        <v>349</v>
      </c>
      <c r="D84" s="363"/>
      <c r="E84" s="500"/>
      <c r="F84" s="495">
        <v>51.9</v>
      </c>
      <c r="G84" s="496" t="s">
        <v>350</v>
      </c>
      <c r="H84" s="370">
        <v>46038</v>
      </c>
      <c r="I84" s="367" t="s">
        <v>367</v>
      </c>
      <c r="J84" s="426"/>
      <c r="K84" s="426"/>
      <c r="L84" s="426">
        <v>50.87</v>
      </c>
      <c r="M84" s="497" t="s">
        <v>350</v>
      </c>
      <c r="N84" s="494">
        <v>46086</v>
      </c>
      <c r="O84" s="363" t="s">
        <v>408</v>
      </c>
      <c r="P84" s="363"/>
      <c r="Q84" s="495"/>
      <c r="R84" s="364">
        <v>29.93</v>
      </c>
      <c r="S84" s="496" t="s">
        <v>350</v>
      </c>
      <c r="T84" s="941">
        <v>46113</v>
      </c>
      <c r="U84" s="942" t="s">
        <v>429</v>
      </c>
      <c r="V84" s="943"/>
      <c r="W84" s="943"/>
      <c r="X84" s="943">
        <v>9.35</v>
      </c>
      <c r="Y84" s="944" t="s">
        <v>350</v>
      </c>
      <c r="Z84" s="494">
        <v>46143</v>
      </c>
      <c r="AA84" s="363" t="s">
        <v>379</v>
      </c>
      <c r="AB84" s="363"/>
      <c r="AC84" s="505"/>
      <c r="AD84" s="364">
        <v>11.5</v>
      </c>
      <c r="AE84" s="496" t="s">
        <v>350</v>
      </c>
      <c r="AF84" s="941">
        <v>46177</v>
      </c>
      <c r="AG84" s="942" t="s">
        <v>373</v>
      </c>
      <c r="AH84" s="943"/>
      <c r="AI84" s="943"/>
      <c r="AJ84" s="943">
        <v>16.95</v>
      </c>
      <c r="AK84" s="944" t="s">
        <v>350</v>
      </c>
      <c r="AL84" s="494"/>
      <c r="AM84" s="363"/>
      <c r="AN84" s="363"/>
      <c r="AO84" s="505"/>
      <c r="AP84" s="364"/>
      <c r="AQ84" s="496"/>
      <c r="AR84" s="370">
        <v>46239</v>
      </c>
      <c r="AS84" s="367" t="s">
        <v>533</v>
      </c>
      <c r="AT84" s="426"/>
      <c r="AU84" s="426"/>
      <c r="AV84" s="943">
        <v>10.98</v>
      </c>
      <c r="AW84" s="944" t="s">
        <v>350</v>
      </c>
      <c r="AX84" s="494"/>
      <c r="AY84" s="363"/>
      <c r="AZ84" s="363"/>
      <c r="BA84" s="495"/>
      <c r="BB84" s="364"/>
      <c r="BC84" s="496"/>
      <c r="BD84" s="370"/>
      <c r="BE84" s="367"/>
      <c r="BF84" s="426"/>
      <c r="BG84" s="426"/>
      <c r="BH84" s="437"/>
      <c r="BI84" s="498"/>
      <c r="BJ84" s="494"/>
      <c r="BK84" s="363"/>
      <c r="BL84" s="363"/>
      <c r="BM84" s="495"/>
      <c r="BN84" s="364"/>
      <c r="BO84" s="496"/>
      <c r="BP84" s="370"/>
      <c r="BQ84" s="367"/>
      <c r="BR84" s="426"/>
      <c r="BS84" s="426"/>
      <c r="BT84" s="437"/>
      <c r="BU84" s="498"/>
    </row>
    <row r="85" spans="1:73" ht="12" customHeight="1" x14ac:dyDescent="0.2">
      <c r="B85" s="494">
        <v>46027</v>
      </c>
      <c r="C85" s="363" t="s">
        <v>356</v>
      </c>
      <c r="D85" s="363"/>
      <c r="E85" s="500"/>
      <c r="F85" s="495">
        <v>38.799999999999997</v>
      </c>
      <c r="G85" s="496" t="s">
        <v>350</v>
      </c>
      <c r="H85" s="370">
        <v>46043</v>
      </c>
      <c r="I85" s="367" t="s">
        <v>359</v>
      </c>
      <c r="J85" s="426" t="s">
        <v>372</v>
      </c>
      <c r="K85" s="426"/>
      <c r="L85" s="426">
        <v>34.78</v>
      </c>
      <c r="M85" s="497" t="s">
        <v>350</v>
      </c>
      <c r="N85" s="494">
        <v>46091</v>
      </c>
      <c r="O85" s="363" t="s">
        <v>409</v>
      </c>
      <c r="P85" s="363"/>
      <c r="Q85" s="495"/>
      <c r="R85" s="364">
        <v>19.670000000000002</v>
      </c>
      <c r="S85" s="496" t="s">
        <v>350</v>
      </c>
      <c r="T85" s="941">
        <v>46113</v>
      </c>
      <c r="U85" s="942" t="s">
        <v>185</v>
      </c>
      <c r="V85" s="943"/>
      <c r="W85" s="943"/>
      <c r="X85" s="943">
        <v>53.88</v>
      </c>
      <c r="Y85" s="944" t="s">
        <v>350</v>
      </c>
      <c r="Z85" s="494">
        <v>46144</v>
      </c>
      <c r="AA85" s="363" t="s">
        <v>185</v>
      </c>
      <c r="AB85" s="363"/>
      <c r="AC85" s="505"/>
      <c r="AD85" s="364">
        <v>49.19</v>
      </c>
      <c r="AE85" s="496" t="s">
        <v>350</v>
      </c>
      <c r="AF85" s="941">
        <v>46179</v>
      </c>
      <c r="AG85" s="942" t="s">
        <v>367</v>
      </c>
      <c r="AH85" s="943"/>
      <c r="AI85" s="943"/>
      <c r="AJ85" s="943">
        <v>56.5</v>
      </c>
      <c r="AK85" s="944" t="s">
        <v>350</v>
      </c>
      <c r="AL85" s="494"/>
      <c r="AM85" s="363"/>
      <c r="AN85" s="363"/>
      <c r="AO85" s="505"/>
      <c r="AP85" s="364"/>
      <c r="AQ85" s="496"/>
      <c r="AR85" s="370">
        <v>46239</v>
      </c>
      <c r="AS85" s="367" t="s">
        <v>468</v>
      </c>
      <c r="AT85" s="426"/>
      <c r="AU85" s="426"/>
      <c r="AV85" s="943">
        <v>27.4</v>
      </c>
      <c r="AW85" s="944" t="s">
        <v>350</v>
      </c>
      <c r="AX85" s="494"/>
      <c r="AY85" s="363"/>
      <c r="AZ85" s="363"/>
      <c r="BA85" s="495"/>
      <c r="BB85" s="364"/>
      <c r="BC85" s="496"/>
      <c r="BD85" s="370"/>
      <c r="BE85" s="367"/>
      <c r="BF85" s="426"/>
      <c r="BG85" s="426"/>
      <c r="BH85" s="437"/>
      <c r="BI85" s="498"/>
      <c r="BJ85" s="494"/>
      <c r="BK85" s="363"/>
      <c r="BL85" s="363"/>
      <c r="BM85" s="495"/>
      <c r="BN85" s="364"/>
      <c r="BO85" s="496"/>
      <c r="BP85" s="370"/>
      <c r="BQ85" s="367"/>
      <c r="BR85" s="426"/>
      <c r="BS85" s="426"/>
      <c r="BT85" s="437"/>
      <c r="BU85" s="498"/>
    </row>
    <row r="86" spans="1:73" ht="12" customHeight="1" x14ac:dyDescent="0.2">
      <c r="B86" s="494">
        <v>46027</v>
      </c>
      <c r="C86" s="363" t="s">
        <v>358</v>
      </c>
      <c r="D86" s="363"/>
      <c r="E86" s="500"/>
      <c r="F86" s="495">
        <v>33.9</v>
      </c>
      <c r="G86" s="496" t="s">
        <v>350</v>
      </c>
      <c r="H86" s="370">
        <v>46044</v>
      </c>
      <c r="I86" s="367" t="s">
        <v>373</v>
      </c>
      <c r="J86" s="426"/>
      <c r="K86" s="426"/>
      <c r="L86" s="426">
        <v>17.95</v>
      </c>
      <c r="M86" s="497" t="s">
        <v>350</v>
      </c>
      <c r="N86" s="494">
        <v>46094</v>
      </c>
      <c r="O86" s="363" t="s">
        <v>184</v>
      </c>
      <c r="P86" s="363"/>
      <c r="Q86" s="495"/>
      <c r="R86" s="364">
        <v>6.69</v>
      </c>
      <c r="S86" s="496" t="s">
        <v>350</v>
      </c>
      <c r="T86" s="941">
        <v>46113</v>
      </c>
      <c r="U86" s="942" t="s">
        <v>430</v>
      </c>
      <c r="V86" s="943"/>
      <c r="W86" s="943"/>
      <c r="X86" s="943">
        <v>50.1</v>
      </c>
      <c r="Y86" s="944" t="s">
        <v>350</v>
      </c>
      <c r="Z86" s="494">
        <v>46144</v>
      </c>
      <c r="AA86" s="363" t="s">
        <v>373</v>
      </c>
      <c r="AB86" s="363"/>
      <c r="AC86" s="505"/>
      <c r="AD86" s="364">
        <v>10.65</v>
      </c>
      <c r="AE86" s="496" t="s">
        <v>350</v>
      </c>
      <c r="AF86" s="941">
        <v>46183</v>
      </c>
      <c r="AG86" s="942" t="s">
        <v>185</v>
      </c>
      <c r="AH86" s="943"/>
      <c r="AI86" s="943"/>
      <c r="AJ86" s="943">
        <v>13.74</v>
      </c>
      <c r="AK86" s="944" t="s">
        <v>350</v>
      </c>
      <c r="AL86" s="494"/>
      <c r="AM86" s="363"/>
      <c r="AN86" s="363"/>
      <c r="AO86" s="505"/>
      <c r="AP86" s="364"/>
      <c r="AQ86" s="496"/>
      <c r="AR86" s="370">
        <v>46239</v>
      </c>
      <c r="AS86" s="367" t="s">
        <v>471</v>
      </c>
      <c r="AT86" s="426"/>
      <c r="AU86" s="506">
        <v>122.08</v>
      </c>
      <c r="AV86" s="943">
        <v>17.16</v>
      </c>
      <c r="AW86" s="944" t="s">
        <v>350</v>
      </c>
      <c r="AX86" s="494"/>
      <c r="AY86" s="363"/>
      <c r="AZ86" s="363"/>
      <c r="BA86" s="495"/>
      <c r="BB86" s="364"/>
      <c r="BC86" s="496"/>
      <c r="BD86" s="370"/>
      <c r="BE86" s="367"/>
      <c r="BF86" s="426"/>
      <c r="BG86" s="426"/>
      <c r="BH86" s="437"/>
      <c r="BI86" s="498"/>
      <c r="BJ86" s="494"/>
      <c r="BK86" s="363"/>
      <c r="BL86" s="363"/>
      <c r="BM86" s="495"/>
      <c r="BN86" s="364"/>
      <c r="BO86" s="496"/>
      <c r="BP86" s="370"/>
      <c r="BQ86" s="367"/>
      <c r="BR86" s="426"/>
      <c r="BS86" s="426"/>
      <c r="BT86" s="437"/>
      <c r="BU86" s="498"/>
    </row>
    <row r="87" spans="1:73" ht="12" customHeight="1" x14ac:dyDescent="0.2">
      <c r="A87" s="504"/>
      <c r="B87" s="494">
        <v>46031</v>
      </c>
      <c r="C87" s="363" t="s">
        <v>357</v>
      </c>
      <c r="D87" s="363"/>
      <c r="E87" s="500"/>
      <c r="F87" s="495">
        <v>37</v>
      </c>
      <c r="G87" s="496" t="s">
        <v>350</v>
      </c>
      <c r="H87" s="370">
        <v>46045</v>
      </c>
      <c r="I87" s="367" t="s">
        <v>185</v>
      </c>
      <c r="J87" s="426"/>
      <c r="K87" s="426"/>
      <c r="L87" s="426">
        <v>11.71</v>
      </c>
      <c r="M87" s="497" t="s">
        <v>350</v>
      </c>
      <c r="N87" s="494">
        <v>46094</v>
      </c>
      <c r="O87" s="363" t="s">
        <v>373</v>
      </c>
      <c r="P87" s="363"/>
      <c r="Q87" s="495"/>
      <c r="R87" s="364">
        <v>24.75</v>
      </c>
      <c r="S87" s="496" t="s">
        <v>350</v>
      </c>
      <c r="T87" s="941">
        <v>46114</v>
      </c>
      <c r="U87" s="942" t="s">
        <v>431</v>
      </c>
      <c r="V87" s="943"/>
      <c r="W87" s="943"/>
      <c r="X87" s="943">
        <v>62.5</v>
      </c>
      <c r="Y87" s="944" t="s">
        <v>350</v>
      </c>
      <c r="Z87" s="494">
        <v>46149</v>
      </c>
      <c r="AA87" s="363" t="s">
        <v>459</v>
      </c>
      <c r="AB87" s="363"/>
      <c r="AC87" s="505"/>
      <c r="AD87" s="364">
        <v>50</v>
      </c>
      <c r="AE87" s="496" t="s">
        <v>350</v>
      </c>
      <c r="AF87" s="941">
        <v>46186</v>
      </c>
      <c r="AG87" s="942" t="s">
        <v>367</v>
      </c>
      <c r="AH87" s="943"/>
      <c r="AI87" s="943"/>
      <c r="AJ87" s="943">
        <v>39.6</v>
      </c>
      <c r="AK87" s="944" t="s">
        <v>350</v>
      </c>
      <c r="AL87" s="494"/>
      <c r="AM87" s="363"/>
      <c r="AN87" s="363"/>
      <c r="AO87" s="505"/>
      <c r="AP87" s="364"/>
      <c r="AQ87" s="496"/>
      <c r="AR87" s="370">
        <v>46244</v>
      </c>
      <c r="AS87" s="367" t="s">
        <v>547</v>
      </c>
      <c r="AT87" s="426" t="s">
        <v>548</v>
      </c>
      <c r="AU87" s="426"/>
      <c r="AV87" s="943">
        <v>26</v>
      </c>
      <c r="AW87" s="944" t="s">
        <v>350</v>
      </c>
      <c r="AX87" s="494"/>
      <c r="AY87" s="363"/>
      <c r="AZ87" s="363"/>
      <c r="BA87" s="495"/>
      <c r="BB87" s="364"/>
      <c r="BC87" s="496"/>
      <c r="BD87" s="370"/>
      <c r="BE87" s="367"/>
      <c r="BF87" s="426"/>
      <c r="BG87" s="426"/>
      <c r="BH87" s="437"/>
      <c r="BI87" s="498"/>
      <c r="BJ87" s="494"/>
      <c r="BK87" s="363"/>
      <c r="BL87" s="363"/>
      <c r="BM87" s="495"/>
      <c r="BN87" s="364"/>
      <c r="BO87" s="496"/>
      <c r="BP87" s="370"/>
      <c r="BQ87" s="367"/>
      <c r="BR87" s="426"/>
      <c r="BS87" s="426"/>
      <c r="BT87" s="437"/>
      <c r="BU87" s="498"/>
    </row>
    <row r="88" spans="1:73" ht="12" customHeight="1" x14ac:dyDescent="0.2">
      <c r="A88" s="504"/>
      <c r="B88" s="494"/>
      <c r="C88" s="363"/>
      <c r="D88" s="363"/>
      <c r="E88" s="500"/>
      <c r="F88" s="495"/>
      <c r="G88" s="496"/>
      <c r="H88" s="370">
        <v>46045</v>
      </c>
      <c r="I88" s="367" t="s">
        <v>385</v>
      </c>
      <c r="J88" s="426"/>
      <c r="K88" s="426"/>
      <c r="L88" s="426">
        <v>29.95</v>
      </c>
      <c r="M88" s="497" t="s">
        <v>350</v>
      </c>
      <c r="N88" s="494">
        <v>46095</v>
      </c>
      <c r="O88" s="363" t="s">
        <v>36</v>
      </c>
      <c r="P88" s="363"/>
      <c r="Q88" s="500">
        <v>566.11</v>
      </c>
      <c r="R88" s="364">
        <v>51.25</v>
      </c>
      <c r="S88" s="496" t="s">
        <v>350</v>
      </c>
      <c r="T88" s="941">
        <v>46114</v>
      </c>
      <c r="U88" s="942" t="s">
        <v>184</v>
      </c>
      <c r="V88" s="943"/>
      <c r="W88" s="943"/>
      <c r="X88" s="943">
        <v>10.99</v>
      </c>
      <c r="Y88" s="944" t="s">
        <v>350</v>
      </c>
      <c r="Z88" s="494">
        <v>46150</v>
      </c>
      <c r="AA88" s="363" t="s">
        <v>460</v>
      </c>
      <c r="AB88" s="363"/>
      <c r="AC88" s="505"/>
      <c r="AD88" s="364">
        <v>21.78</v>
      </c>
      <c r="AE88" s="496" t="s">
        <v>350</v>
      </c>
      <c r="AF88" s="941">
        <v>46188</v>
      </c>
      <c r="AG88" s="942" t="s">
        <v>184</v>
      </c>
      <c r="AH88" s="943"/>
      <c r="AI88" s="943"/>
      <c r="AJ88" s="943">
        <v>13.66</v>
      </c>
      <c r="AK88" s="944" t="s">
        <v>350</v>
      </c>
      <c r="AL88" s="494"/>
      <c r="AM88" s="363"/>
      <c r="AN88" s="363"/>
      <c r="AO88" s="505">
        <v>109.82</v>
      </c>
      <c r="AP88" s="364"/>
      <c r="AQ88" s="496"/>
      <c r="AR88" s="370">
        <v>46247</v>
      </c>
      <c r="AS88" s="367" t="s">
        <v>367</v>
      </c>
      <c r="AT88" s="426"/>
      <c r="AU88" s="426"/>
      <c r="AV88" s="943">
        <v>31.54</v>
      </c>
      <c r="AW88" s="944" t="s">
        <v>350</v>
      </c>
      <c r="AX88" s="494"/>
      <c r="AY88" s="363"/>
      <c r="AZ88" s="363"/>
      <c r="BA88" s="495"/>
      <c r="BB88" s="364"/>
      <c r="BC88" s="496"/>
      <c r="BD88" s="370"/>
      <c r="BE88" s="367"/>
      <c r="BF88" s="426"/>
      <c r="BG88" s="426"/>
      <c r="BH88" s="437"/>
      <c r="BI88" s="498"/>
      <c r="BJ88" s="494"/>
      <c r="BK88" s="363"/>
      <c r="BL88" s="363"/>
      <c r="BM88" s="495"/>
      <c r="BN88" s="364"/>
      <c r="BO88" s="496"/>
      <c r="BP88" s="370"/>
      <c r="BQ88" s="367"/>
      <c r="BR88" s="426"/>
      <c r="BS88" s="426"/>
      <c r="BT88" s="437"/>
      <c r="BU88" s="498"/>
    </row>
    <row r="89" spans="1:73" ht="12" customHeight="1" x14ac:dyDescent="0.2">
      <c r="A89" s="504"/>
      <c r="B89" s="494"/>
      <c r="C89" s="363"/>
      <c r="D89" s="363"/>
      <c r="E89" s="500"/>
      <c r="F89" s="495"/>
      <c r="G89" s="496"/>
      <c r="H89" s="370">
        <v>46046</v>
      </c>
      <c r="I89" s="367" t="s">
        <v>386</v>
      </c>
      <c r="J89" s="426"/>
      <c r="K89" s="426"/>
      <c r="L89" s="426">
        <v>16.55</v>
      </c>
      <c r="M89" s="497" t="s">
        <v>350</v>
      </c>
      <c r="N89" s="494">
        <v>46095</v>
      </c>
      <c r="O89" s="363" t="s">
        <v>410</v>
      </c>
      <c r="P89" s="363"/>
      <c r="Q89" s="495"/>
      <c r="R89" s="364">
        <v>15.15</v>
      </c>
      <c r="S89" s="496" t="s">
        <v>350</v>
      </c>
      <c r="T89" s="941">
        <v>46116</v>
      </c>
      <c r="U89" s="942" t="s">
        <v>183</v>
      </c>
      <c r="V89" s="943"/>
      <c r="W89" s="943"/>
      <c r="X89" s="943">
        <v>35.119999999999997</v>
      </c>
      <c r="Y89" s="944" t="s">
        <v>350</v>
      </c>
      <c r="Z89" s="494">
        <v>46150</v>
      </c>
      <c r="AA89" s="363" t="s">
        <v>457</v>
      </c>
      <c r="AB89" s="363"/>
      <c r="AC89" s="505"/>
      <c r="AD89" s="364">
        <v>60</v>
      </c>
      <c r="AE89" s="496" t="s">
        <v>350</v>
      </c>
      <c r="AF89" s="941">
        <v>46190</v>
      </c>
      <c r="AG89" s="942" t="s">
        <v>489</v>
      </c>
      <c r="AH89" s="943"/>
      <c r="AI89" s="943"/>
      <c r="AJ89" s="943">
        <v>28.09</v>
      </c>
      <c r="AK89" s="944" t="s">
        <v>350</v>
      </c>
      <c r="AL89" s="494">
        <v>46199</v>
      </c>
      <c r="AM89" s="363" t="s">
        <v>470</v>
      </c>
      <c r="AN89" s="363"/>
      <c r="AO89" s="505"/>
      <c r="AP89" s="364">
        <v>36.29</v>
      </c>
      <c r="AQ89" s="496" t="s">
        <v>350</v>
      </c>
      <c r="AR89" s="370">
        <v>46248</v>
      </c>
      <c r="AS89" s="367" t="s">
        <v>367</v>
      </c>
      <c r="AT89" s="426"/>
      <c r="AU89" s="426"/>
      <c r="AV89" s="943">
        <v>42.13</v>
      </c>
      <c r="AW89" s="944" t="s">
        <v>350</v>
      </c>
      <c r="AX89" s="494"/>
      <c r="AY89" s="363"/>
      <c r="AZ89" s="363"/>
      <c r="BA89" s="495"/>
      <c r="BB89" s="364"/>
      <c r="BC89" s="496"/>
      <c r="BD89" s="370"/>
      <c r="BE89" s="367"/>
      <c r="BF89" s="426"/>
      <c r="BG89" s="426"/>
      <c r="BH89" s="437"/>
      <c r="BI89" s="498"/>
      <c r="BJ89" s="494"/>
      <c r="BK89" s="363"/>
      <c r="BL89" s="363"/>
      <c r="BM89" s="495"/>
      <c r="BN89" s="364"/>
      <c r="BO89" s="496"/>
      <c r="BP89" s="370"/>
      <c r="BQ89" s="367"/>
      <c r="BR89" s="426"/>
      <c r="BS89" s="426"/>
      <c r="BT89" s="437"/>
      <c r="BU89" s="498"/>
    </row>
    <row r="90" spans="1:73" ht="12" customHeight="1" x14ac:dyDescent="0.2">
      <c r="A90" s="504"/>
      <c r="B90" s="494"/>
      <c r="C90" s="363"/>
      <c r="D90" s="363"/>
      <c r="E90" s="500"/>
      <c r="F90" s="495"/>
      <c r="G90" s="496"/>
      <c r="H90" s="370">
        <v>46049</v>
      </c>
      <c r="I90" s="367" t="s">
        <v>387</v>
      </c>
      <c r="J90" s="426"/>
      <c r="K90" s="426"/>
      <c r="L90" s="426">
        <v>13.8</v>
      </c>
      <c r="M90" s="497" t="s">
        <v>350</v>
      </c>
      <c r="N90" s="494">
        <v>46102</v>
      </c>
      <c r="O90" s="363" t="s">
        <v>186</v>
      </c>
      <c r="P90" s="363"/>
      <c r="Q90" s="495"/>
      <c r="R90" s="364">
        <v>71.959999999999994</v>
      </c>
      <c r="S90" s="496" t="s">
        <v>350</v>
      </c>
      <c r="T90" s="941">
        <v>46117</v>
      </c>
      <c r="U90" s="942" t="s">
        <v>436</v>
      </c>
      <c r="V90" s="943"/>
      <c r="W90" s="943"/>
      <c r="X90" s="943">
        <v>20.079999999999998</v>
      </c>
      <c r="Y90" s="944" t="s">
        <v>350</v>
      </c>
      <c r="Z90" s="494">
        <v>46151</v>
      </c>
      <c r="AA90" s="363" t="s">
        <v>359</v>
      </c>
      <c r="AB90" s="363"/>
      <c r="AC90" s="505"/>
      <c r="AD90" s="364">
        <v>38.520000000000003</v>
      </c>
      <c r="AE90" s="496" t="s">
        <v>350</v>
      </c>
      <c r="AF90" s="941">
        <v>46190</v>
      </c>
      <c r="AG90" s="942" t="s">
        <v>490</v>
      </c>
      <c r="AH90" s="943"/>
      <c r="AI90" s="943"/>
      <c r="AJ90" s="943">
        <v>47.95</v>
      </c>
      <c r="AK90" s="944" t="s">
        <v>350</v>
      </c>
      <c r="AL90" s="494">
        <v>46203</v>
      </c>
      <c r="AM90" s="363" t="s">
        <v>500</v>
      </c>
      <c r="AN90" s="363" t="s">
        <v>501</v>
      </c>
      <c r="AO90" s="505"/>
      <c r="AP90" s="364">
        <v>129</v>
      </c>
      <c r="AQ90" s="496" t="s">
        <v>350</v>
      </c>
      <c r="AR90" s="370">
        <v>46249</v>
      </c>
      <c r="AS90" s="367" t="s">
        <v>549</v>
      </c>
      <c r="AT90" s="426"/>
      <c r="AU90" s="426"/>
      <c r="AV90" s="943">
        <v>22.8</v>
      </c>
      <c r="AW90" s="944" t="s">
        <v>350</v>
      </c>
      <c r="AX90" s="494"/>
      <c r="AY90" s="363"/>
      <c r="AZ90" s="363"/>
      <c r="BA90" s="495"/>
      <c r="BB90" s="364"/>
      <c r="BC90" s="496"/>
      <c r="BD90" s="370"/>
      <c r="BE90" s="367"/>
      <c r="BF90" s="426"/>
      <c r="BG90" s="426"/>
      <c r="BH90" s="437"/>
      <c r="BI90" s="498"/>
      <c r="BJ90" s="494"/>
      <c r="BK90" s="363"/>
      <c r="BL90" s="363"/>
      <c r="BM90" s="495"/>
      <c r="BN90" s="364"/>
      <c r="BO90" s="496"/>
      <c r="BP90" s="370"/>
      <c r="BQ90" s="367"/>
      <c r="BR90" s="426"/>
      <c r="BS90" s="426"/>
      <c r="BT90" s="437"/>
      <c r="BU90" s="498"/>
    </row>
    <row r="91" spans="1:73" ht="12" customHeight="1" x14ac:dyDescent="0.2">
      <c r="A91" s="504"/>
      <c r="B91" s="494"/>
      <c r="C91" s="363"/>
      <c r="D91" s="363"/>
      <c r="E91" s="500"/>
      <c r="F91" s="495"/>
      <c r="G91" s="496"/>
      <c r="H91" s="370">
        <v>46049</v>
      </c>
      <c r="I91" s="367" t="s">
        <v>373</v>
      </c>
      <c r="J91" s="426"/>
      <c r="K91" s="426"/>
      <c r="L91" s="426">
        <v>12</v>
      </c>
      <c r="M91" s="497" t="s">
        <v>350</v>
      </c>
      <c r="N91" s="494">
        <v>46102</v>
      </c>
      <c r="O91" s="363" t="s">
        <v>359</v>
      </c>
      <c r="P91" s="363"/>
      <c r="Q91" s="495"/>
      <c r="R91" s="364">
        <v>18.79</v>
      </c>
      <c r="S91" s="496" t="s">
        <v>350</v>
      </c>
      <c r="T91" s="941">
        <v>46117</v>
      </c>
      <c r="U91" s="942" t="s">
        <v>432</v>
      </c>
      <c r="V91" s="943"/>
      <c r="W91" s="943"/>
      <c r="X91" s="943">
        <v>11.5</v>
      </c>
      <c r="Y91" s="944" t="s">
        <v>350</v>
      </c>
      <c r="Z91" s="494">
        <v>46151</v>
      </c>
      <c r="AA91" s="363" t="s">
        <v>347</v>
      </c>
      <c r="AB91" s="363"/>
      <c r="AC91" s="505"/>
      <c r="AD91" s="364">
        <v>43.49</v>
      </c>
      <c r="AE91" s="496" t="s">
        <v>350</v>
      </c>
      <c r="AF91" s="941">
        <v>46191</v>
      </c>
      <c r="AG91" s="942" t="s">
        <v>373</v>
      </c>
      <c r="AH91" s="943"/>
      <c r="AI91" s="943"/>
      <c r="AJ91" s="943">
        <v>40.549999999999997</v>
      </c>
      <c r="AK91" s="944" t="s">
        <v>350</v>
      </c>
      <c r="AL91" s="494">
        <v>46205</v>
      </c>
      <c r="AM91" s="363" t="s">
        <v>184</v>
      </c>
      <c r="AN91" s="363" t="s">
        <v>499</v>
      </c>
      <c r="AO91" s="505"/>
      <c r="AP91" s="364">
        <v>44.99</v>
      </c>
      <c r="AQ91" s="496" t="s">
        <v>350</v>
      </c>
      <c r="AR91" s="370">
        <v>46249</v>
      </c>
      <c r="AS91" s="367" t="s">
        <v>550</v>
      </c>
      <c r="AT91" s="426" t="s">
        <v>551</v>
      </c>
      <c r="AU91" s="506">
        <v>133.22</v>
      </c>
      <c r="AV91" s="943">
        <v>10.75</v>
      </c>
      <c r="AW91" s="944" t="s">
        <v>350</v>
      </c>
      <c r="AX91" s="494"/>
      <c r="AY91" s="363"/>
      <c r="AZ91" s="363"/>
      <c r="BA91" s="495"/>
      <c r="BB91" s="364"/>
      <c r="BC91" s="496"/>
      <c r="BD91" s="370"/>
      <c r="BE91" s="367"/>
      <c r="BF91" s="426"/>
      <c r="BG91" s="426"/>
      <c r="BH91" s="437"/>
      <c r="BI91" s="498"/>
      <c r="BJ91" s="494"/>
      <c r="BK91" s="363"/>
      <c r="BL91" s="363"/>
      <c r="BM91" s="495"/>
      <c r="BN91" s="364"/>
      <c r="BO91" s="496"/>
      <c r="BP91" s="370"/>
      <c r="BQ91" s="367"/>
      <c r="BR91" s="426"/>
      <c r="BS91" s="426"/>
      <c r="BT91" s="437"/>
      <c r="BU91" s="498"/>
    </row>
    <row r="92" spans="1:73" ht="12" customHeight="1" x14ac:dyDescent="0.2">
      <c r="A92" s="504"/>
      <c r="B92" s="494"/>
      <c r="C92" s="363"/>
      <c r="D92" s="363"/>
      <c r="E92" s="500"/>
      <c r="F92" s="495"/>
      <c r="G92" s="496"/>
      <c r="H92" s="370">
        <v>46049</v>
      </c>
      <c r="I92" s="367" t="s">
        <v>185</v>
      </c>
      <c r="J92" s="426"/>
      <c r="K92" s="426"/>
      <c r="L92" s="426">
        <v>12.86</v>
      </c>
      <c r="M92" s="497" t="s">
        <v>350</v>
      </c>
      <c r="N92" s="494">
        <v>46104</v>
      </c>
      <c r="O92" s="363" t="s">
        <v>423</v>
      </c>
      <c r="P92" s="363"/>
      <c r="Q92" s="495"/>
      <c r="R92" s="364">
        <v>5.6</v>
      </c>
      <c r="S92" s="496" t="s">
        <v>350</v>
      </c>
      <c r="T92" s="941">
        <v>46117</v>
      </c>
      <c r="U92" s="942" t="s">
        <v>433</v>
      </c>
      <c r="V92" s="943"/>
      <c r="W92" s="943"/>
      <c r="X92" s="943">
        <v>26</v>
      </c>
      <c r="Y92" s="944" t="s">
        <v>350</v>
      </c>
      <c r="Z92" s="494">
        <v>46151</v>
      </c>
      <c r="AA92" s="363" t="s">
        <v>367</v>
      </c>
      <c r="AB92" s="363"/>
      <c r="AC92" s="505"/>
      <c r="AD92" s="364">
        <v>30.68</v>
      </c>
      <c r="AE92" s="496" t="s">
        <v>350</v>
      </c>
      <c r="AF92" s="941">
        <v>46191</v>
      </c>
      <c r="AG92" s="942" t="s">
        <v>491</v>
      </c>
      <c r="AH92" s="943"/>
      <c r="AI92" s="943"/>
      <c r="AJ92" s="943">
        <v>28.58</v>
      </c>
      <c r="AK92" s="944" t="s">
        <v>350</v>
      </c>
      <c r="AL92" s="494">
        <v>46206</v>
      </c>
      <c r="AM92" s="363" t="s">
        <v>465</v>
      </c>
      <c r="AN92" s="363"/>
      <c r="AO92" s="505">
        <v>264.08</v>
      </c>
      <c r="AP92" s="364">
        <v>53.8</v>
      </c>
      <c r="AQ92" s="496" t="s">
        <v>350</v>
      </c>
      <c r="AR92" s="370">
        <v>46250</v>
      </c>
      <c r="AS92" s="367" t="s">
        <v>552</v>
      </c>
      <c r="AT92" s="426"/>
      <c r="AU92" s="426"/>
      <c r="AV92" s="943">
        <v>10.199999999999999</v>
      </c>
      <c r="AW92" s="944" t="s">
        <v>350</v>
      </c>
      <c r="AX92" s="494"/>
      <c r="AY92" s="363"/>
      <c r="AZ92" s="363"/>
      <c r="BA92" s="495"/>
      <c r="BB92" s="364"/>
      <c r="BC92" s="496"/>
      <c r="BD92" s="370"/>
      <c r="BE92" s="367"/>
      <c r="BF92" s="426"/>
      <c r="BG92" s="426"/>
      <c r="BH92" s="437"/>
      <c r="BI92" s="498"/>
      <c r="BJ92" s="494"/>
      <c r="BK92" s="363"/>
      <c r="BL92" s="363"/>
      <c r="BM92" s="495"/>
      <c r="BN92" s="364"/>
      <c r="BO92" s="496"/>
      <c r="BP92" s="370"/>
      <c r="BQ92" s="367"/>
      <c r="BR92" s="426"/>
      <c r="BS92" s="426"/>
      <c r="BT92" s="437"/>
      <c r="BU92" s="498"/>
    </row>
    <row r="93" spans="1:73" ht="12" customHeight="1" x14ac:dyDescent="0.2">
      <c r="A93" s="504"/>
      <c r="B93" s="494"/>
      <c r="C93" s="363"/>
      <c r="D93" s="363"/>
      <c r="E93" s="500"/>
      <c r="F93" s="495"/>
      <c r="G93" s="496"/>
      <c r="H93" s="370">
        <v>46050</v>
      </c>
      <c r="I93" s="367" t="s">
        <v>388</v>
      </c>
      <c r="J93" s="426"/>
      <c r="K93" s="426"/>
      <c r="L93" s="426">
        <v>13.1</v>
      </c>
      <c r="M93" s="497" t="s">
        <v>350</v>
      </c>
      <c r="N93" s="494">
        <v>46104</v>
      </c>
      <c r="O93" s="363" t="s">
        <v>409</v>
      </c>
      <c r="P93" s="363"/>
      <c r="Q93" s="495"/>
      <c r="R93" s="364">
        <v>6.05</v>
      </c>
      <c r="S93" s="496" t="s">
        <v>350</v>
      </c>
      <c r="T93" s="941">
        <v>46118</v>
      </c>
      <c r="U93" s="942" t="s">
        <v>434</v>
      </c>
      <c r="V93" s="943"/>
      <c r="W93" s="943"/>
      <c r="X93" s="943">
        <v>10.4</v>
      </c>
      <c r="Y93" s="944" t="s">
        <v>350</v>
      </c>
      <c r="Z93" s="494">
        <v>46152</v>
      </c>
      <c r="AA93" s="363" t="s">
        <v>465</v>
      </c>
      <c r="AB93" s="363"/>
      <c r="AC93" s="505"/>
      <c r="AD93" s="364">
        <v>10</v>
      </c>
      <c r="AE93" s="496" t="s">
        <v>350</v>
      </c>
      <c r="AF93" s="941">
        <v>46192</v>
      </c>
      <c r="AG93" s="942" t="s">
        <v>492</v>
      </c>
      <c r="AH93" s="943"/>
      <c r="AI93" s="943"/>
      <c r="AJ93" s="943">
        <v>89.1</v>
      </c>
      <c r="AK93" s="944" t="s">
        <v>350</v>
      </c>
      <c r="AL93" s="494">
        <v>46207</v>
      </c>
      <c r="AM93" s="363" t="s">
        <v>392</v>
      </c>
      <c r="AN93" s="363"/>
      <c r="AO93" s="505"/>
      <c r="AP93" s="364">
        <v>40.299999999999997</v>
      </c>
      <c r="AQ93" s="496" t="s">
        <v>350</v>
      </c>
      <c r="AR93" s="370">
        <v>46251</v>
      </c>
      <c r="AS93" s="367" t="s">
        <v>560</v>
      </c>
      <c r="AT93" s="426"/>
      <c r="AU93" s="426"/>
      <c r="AV93" s="943">
        <v>8.5</v>
      </c>
      <c r="AW93" s="944" t="s">
        <v>350</v>
      </c>
      <c r="AX93" s="494"/>
      <c r="AY93" s="363"/>
      <c r="AZ93" s="363"/>
      <c r="BA93" s="495"/>
      <c r="BB93" s="364"/>
      <c r="BC93" s="496"/>
      <c r="BD93" s="370"/>
      <c r="BE93" s="367"/>
      <c r="BF93" s="426"/>
      <c r="BG93" s="426"/>
      <c r="BH93" s="437"/>
      <c r="BI93" s="498"/>
      <c r="BJ93" s="494"/>
      <c r="BK93" s="363"/>
      <c r="BL93" s="363"/>
      <c r="BM93" s="495"/>
      <c r="BN93" s="364"/>
      <c r="BO93" s="496"/>
      <c r="BP93" s="370"/>
      <c r="BQ93" s="367"/>
      <c r="BR93" s="426"/>
      <c r="BS93" s="426"/>
      <c r="BT93" s="437"/>
      <c r="BU93" s="498"/>
    </row>
    <row r="94" spans="1:73" ht="12" customHeight="1" x14ac:dyDescent="0.2">
      <c r="A94" s="504"/>
      <c r="B94" s="494"/>
      <c r="C94" s="363"/>
      <c r="D94" s="363"/>
      <c r="E94" s="500"/>
      <c r="F94" s="495"/>
      <c r="G94" s="496"/>
      <c r="H94" s="370">
        <v>46052</v>
      </c>
      <c r="I94" s="367" t="s">
        <v>359</v>
      </c>
      <c r="J94" s="426"/>
      <c r="K94" s="426"/>
      <c r="L94" s="426">
        <v>121.03</v>
      </c>
      <c r="M94" s="497" t="s">
        <v>350</v>
      </c>
      <c r="N94" s="494">
        <v>46108</v>
      </c>
      <c r="O94" s="363" t="s">
        <v>396</v>
      </c>
      <c r="P94" s="363"/>
      <c r="Q94" s="495"/>
      <c r="R94" s="364">
        <v>21.95</v>
      </c>
      <c r="S94" s="496" t="s">
        <v>350</v>
      </c>
      <c r="T94" s="941">
        <v>46118</v>
      </c>
      <c r="U94" s="942" t="s">
        <v>435</v>
      </c>
      <c r="V94" s="943"/>
      <c r="W94" s="506"/>
      <c r="X94" s="943">
        <v>19.2</v>
      </c>
      <c r="Y94" s="944" t="s">
        <v>350</v>
      </c>
      <c r="Z94" s="494">
        <v>46156</v>
      </c>
      <c r="AA94" s="363" t="s">
        <v>466</v>
      </c>
      <c r="AB94" s="363"/>
      <c r="AC94" s="505"/>
      <c r="AD94" s="364">
        <v>44.5</v>
      </c>
      <c r="AE94" s="496" t="s">
        <v>350</v>
      </c>
      <c r="AF94" s="941">
        <v>46193</v>
      </c>
      <c r="AG94" s="942" t="s">
        <v>185</v>
      </c>
      <c r="AH94" s="943"/>
      <c r="AI94" s="943"/>
      <c r="AJ94" s="943">
        <v>58.75</v>
      </c>
      <c r="AK94" s="944" t="s">
        <v>350</v>
      </c>
      <c r="AL94" s="494">
        <v>46207</v>
      </c>
      <c r="AM94" s="363" t="s">
        <v>468</v>
      </c>
      <c r="AN94" s="363"/>
      <c r="AO94" s="505"/>
      <c r="AP94" s="364">
        <v>25.4</v>
      </c>
      <c r="AQ94" s="496" t="s">
        <v>350</v>
      </c>
      <c r="AR94" s="370">
        <v>46251</v>
      </c>
      <c r="AS94" s="367" t="s">
        <v>185</v>
      </c>
      <c r="AT94" s="426"/>
      <c r="AU94" s="426"/>
      <c r="AV94" s="943">
        <v>7.25</v>
      </c>
      <c r="AW94" s="944" t="s">
        <v>350</v>
      </c>
      <c r="AX94" s="494"/>
      <c r="AY94" s="363"/>
      <c r="AZ94" s="363"/>
      <c r="BA94" s="495"/>
      <c r="BB94" s="364"/>
      <c r="BC94" s="496"/>
      <c r="BD94" s="370"/>
      <c r="BE94" s="367"/>
      <c r="BF94" s="426"/>
      <c r="BG94" s="426"/>
      <c r="BH94" s="437"/>
      <c r="BI94" s="498"/>
      <c r="BJ94" s="494"/>
      <c r="BK94" s="363"/>
      <c r="BL94" s="363"/>
      <c r="BM94" s="495"/>
      <c r="BN94" s="364"/>
      <c r="BO94" s="496"/>
      <c r="BP94" s="370"/>
      <c r="BQ94" s="367"/>
      <c r="BR94" s="426"/>
      <c r="BS94" s="426"/>
      <c r="BT94" s="437"/>
      <c r="BU94" s="498"/>
    </row>
    <row r="95" spans="1:73" ht="12" customHeight="1" x14ac:dyDescent="0.2">
      <c r="A95" s="504"/>
      <c r="B95" s="494"/>
      <c r="C95" s="363"/>
      <c r="D95" s="363"/>
      <c r="E95" s="500"/>
      <c r="F95" s="495"/>
      <c r="G95" s="496"/>
      <c r="H95" s="370">
        <v>46052</v>
      </c>
      <c r="I95" s="367" t="s">
        <v>389</v>
      </c>
      <c r="J95" s="426"/>
      <c r="K95" s="426"/>
      <c r="L95" s="426">
        <v>21.65</v>
      </c>
      <c r="M95" s="497" t="s">
        <v>350</v>
      </c>
      <c r="N95" s="494">
        <v>46110</v>
      </c>
      <c r="O95" s="363" t="s">
        <v>184</v>
      </c>
      <c r="P95" s="363"/>
      <c r="Q95" s="500">
        <v>167.48</v>
      </c>
      <c r="R95" s="364">
        <v>27.98</v>
      </c>
      <c r="S95" s="496" t="s">
        <v>350</v>
      </c>
      <c r="T95" s="941">
        <v>46120</v>
      </c>
      <c r="U95" s="942" t="s">
        <v>437</v>
      </c>
      <c r="V95" s="943"/>
      <c r="W95" s="943"/>
      <c r="X95" s="943">
        <v>21.78</v>
      </c>
      <c r="Y95" s="944" t="s">
        <v>350</v>
      </c>
      <c r="Z95" s="494">
        <v>46156</v>
      </c>
      <c r="AA95" s="363" t="s">
        <v>373</v>
      </c>
      <c r="AB95" s="363"/>
      <c r="AC95" s="505"/>
      <c r="AD95" s="364">
        <v>41.9</v>
      </c>
      <c r="AE95" s="496" t="s">
        <v>350</v>
      </c>
      <c r="AF95" s="941">
        <v>46193</v>
      </c>
      <c r="AG95" s="942" t="s">
        <v>493</v>
      </c>
      <c r="AH95" s="943"/>
      <c r="AI95" s="943"/>
      <c r="AJ95" s="943">
        <v>62.97</v>
      </c>
      <c r="AK95" s="944" t="s">
        <v>350</v>
      </c>
      <c r="AL95" s="494">
        <v>46207</v>
      </c>
      <c r="AM95" s="363" t="s">
        <v>359</v>
      </c>
      <c r="AN95" s="363"/>
      <c r="AO95" s="505"/>
      <c r="AP95" s="364">
        <v>26.78</v>
      </c>
      <c r="AQ95" s="496" t="s">
        <v>350</v>
      </c>
      <c r="AR95" s="370">
        <v>46252</v>
      </c>
      <c r="AS95" s="367" t="s">
        <v>359</v>
      </c>
      <c r="AT95" s="426"/>
      <c r="AU95" s="426"/>
      <c r="AV95" s="943">
        <v>83.9</v>
      </c>
      <c r="AW95" s="944" t="s">
        <v>350</v>
      </c>
      <c r="AX95" s="494"/>
      <c r="AY95" s="363"/>
      <c r="AZ95" s="363"/>
      <c r="BA95" s="495"/>
      <c r="BB95" s="364"/>
      <c r="BC95" s="496"/>
      <c r="BD95" s="370"/>
      <c r="BE95" s="367"/>
      <c r="BF95" s="426"/>
      <c r="BG95" s="426"/>
      <c r="BH95" s="437"/>
      <c r="BI95" s="498"/>
      <c r="BJ95" s="494"/>
      <c r="BK95" s="363"/>
      <c r="BL95" s="363"/>
      <c r="BM95" s="495"/>
      <c r="BN95" s="364"/>
      <c r="BO95" s="496"/>
      <c r="BP95" s="370"/>
      <c r="BQ95" s="367"/>
      <c r="BR95" s="426"/>
      <c r="BS95" s="426"/>
      <c r="BT95" s="437"/>
      <c r="BU95" s="498"/>
    </row>
    <row r="96" spans="1:73" ht="12" customHeight="1" x14ac:dyDescent="0.2">
      <c r="A96" s="504"/>
      <c r="B96" s="494"/>
      <c r="C96" s="363"/>
      <c r="D96" s="363"/>
      <c r="E96" s="500"/>
      <c r="F96" s="495"/>
      <c r="G96" s="496"/>
      <c r="H96" s="370">
        <v>46053</v>
      </c>
      <c r="I96" s="367" t="s">
        <v>185</v>
      </c>
      <c r="J96" s="426"/>
      <c r="K96" s="426"/>
      <c r="L96" s="426">
        <v>51.4</v>
      </c>
      <c r="M96" s="497" t="s">
        <v>350</v>
      </c>
      <c r="N96" s="494"/>
      <c r="O96" s="363"/>
      <c r="P96" s="363"/>
      <c r="Q96" s="495"/>
      <c r="R96" s="364"/>
      <c r="S96" s="496"/>
      <c r="T96" s="941">
        <v>46123</v>
      </c>
      <c r="U96" s="942" t="s">
        <v>438</v>
      </c>
      <c r="V96" s="943"/>
      <c r="W96" s="943"/>
      <c r="X96" s="943">
        <v>21</v>
      </c>
      <c r="Y96" s="944" t="s">
        <v>350</v>
      </c>
      <c r="Z96" s="494">
        <v>46157</v>
      </c>
      <c r="AA96" s="363" t="s">
        <v>467</v>
      </c>
      <c r="AB96" s="363"/>
      <c r="AC96" s="505">
        <v>446.76</v>
      </c>
      <c r="AD96" s="364">
        <v>18.7</v>
      </c>
      <c r="AE96" s="496" t="s">
        <v>350</v>
      </c>
      <c r="AF96" s="941">
        <v>46193</v>
      </c>
      <c r="AG96" s="942" t="s">
        <v>494</v>
      </c>
      <c r="AH96" s="943"/>
      <c r="AI96" s="943"/>
      <c r="AJ96" s="943">
        <v>18</v>
      </c>
      <c r="AK96" s="944" t="s">
        <v>350</v>
      </c>
      <c r="AL96" s="494">
        <v>46207</v>
      </c>
      <c r="AM96" s="363" t="s">
        <v>471</v>
      </c>
      <c r="AN96" s="363"/>
      <c r="AO96" s="505"/>
      <c r="AP96" s="364">
        <v>53.03</v>
      </c>
      <c r="AQ96" s="496" t="s">
        <v>350</v>
      </c>
      <c r="AR96" s="370">
        <v>46252</v>
      </c>
      <c r="AS96" s="367" t="s">
        <v>561</v>
      </c>
      <c r="AT96" s="426"/>
      <c r="AU96" s="426"/>
      <c r="AV96" s="943">
        <v>9.3000000000000007</v>
      </c>
      <c r="AW96" s="944" t="s">
        <v>350</v>
      </c>
      <c r="AX96" s="494"/>
      <c r="AY96" s="363"/>
      <c r="AZ96" s="363"/>
      <c r="BA96" s="495"/>
      <c r="BB96" s="364"/>
      <c r="BC96" s="496"/>
      <c r="BD96" s="370"/>
      <c r="BE96" s="367"/>
      <c r="BF96" s="426"/>
      <c r="BG96" s="426"/>
      <c r="BH96" s="437"/>
      <c r="BI96" s="498"/>
      <c r="BJ96" s="494"/>
      <c r="BK96" s="363"/>
      <c r="BL96" s="363"/>
      <c r="BM96" s="495"/>
      <c r="BN96" s="364"/>
      <c r="BO96" s="496"/>
      <c r="BP96" s="370"/>
      <c r="BQ96" s="367"/>
      <c r="BR96" s="426"/>
      <c r="BS96" s="426"/>
      <c r="BT96" s="437"/>
      <c r="BU96" s="498"/>
    </row>
    <row r="97" spans="1:73" ht="12" customHeight="1" x14ac:dyDescent="0.2">
      <c r="A97" s="504"/>
      <c r="B97" s="494"/>
      <c r="C97" s="363"/>
      <c r="D97" s="363"/>
      <c r="E97" s="500"/>
      <c r="F97" s="495"/>
      <c r="G97" s="496"/>
      <c r="H97" s="370">
        <v>46053</v>
      </c>
      <c r="I97" s="367" t="s">
        <v>390</v>
      </c>
      <c r="J97" s="426"/>
      <c r="K97" s="426"/>
      <c r="L97" s="426">
        <v>24</v>
      </c>
      <c r="M97" s="497" t="s">
        <v>350</v>
      </c>
      <c r="N97" s="494"/>
      <c r="O97" s="363"/>
      <c r="P97" s="363"/>
      <c r="Q97" s="495"/>
      <c r="R97" s="364"/>
      <c r="S97" s="496"/>
      <c r="T97" s="941">
        <v>46124</v>
      </c>
      <c r="U97" s="942" t="s">
        <v>439</v>
      </c>
      <c r="V97" s="943"/>
      <c r="W97" s="943"/>
      <c r="X97" s="943">
        <v>6.4</v>
      </c>
      <c r="Y97" s="944" t="s">
        <v>350</v>
      </c>
      <c r="Z97" s="494">
        <v>46158</v>
      </c>
      <c r="AA97" s="363" t="s">
        <v>359</v>
      </c>
      <c r="AB97" s="363"/>
      <c r="AC97" s="505"/>
      <c r="AD97" s="364">
        <v>28.41</v>
      </c>
      <c r="AE97" s="496" t="s">
        <v>350</v>
      </c>
      <c r="AF97" s="941">
        <v>46195</v>
      </c>
      <c r="AG97" s="942" t="s">
        <v>184</v>
      </c>
      <c r="AH97" s="943"/>
      <c r="AI97" s="943"/>
      <c r="AJ97" s="943">
        <v>158.49</v>
      </c>
      <c r="AK97" s="944" t="s">
        <v>350</v>
      </c>
      <c r="AL97" s="494">
        <v>46207</v>
      </c>
      <c r="AM97" s="363" t="s">
        <v>508</v>
      </c>
      <c r="AN97" s="363"/>
      <c r="AO97" s="505"/>
      <c r="AP97" s="364">
        <v>21.78</v>
      </c>
      <c r="AQ97" s="496" t="s">
        <v>350</v>
      </c>
      <c r="AR97" s="370">
        <v>46253</v>
      </c>
      <c r="AS97" s="367" t="s">
        <v>423</v>
      </c>
      <c r="AT97" s="426"/>
      <c r="AU97" s="426"/>
      <c r="AV97" s="943">
        <v>12.3</v>
      </c>
      <c r="AW97" s="944" t="s">
        <v>350</v>
      </c>
      <c r="AX97" s="494"/>
      <c r="AY97" s="363"/>
      <c r="AZ97" s="363"/>
      <c r="BA97" s="495"/>
      <c r="BB97" s="364"/>
      <c r="BC97" s="496"/>
      <c r="BD97" s="370"/>
      <c r="BE97" s="367"/>
      <c r="BF97" s="426"/>
      <c r="BG97" s="426"/>
      <c r="BH97" s="437"/>
      <c r="BI97" s="498"/>
      <c r="BJ97" s="494"/>
      <c r="BK97" s="363"/>
      <c r="BL97" s="363"/>
      <c r="BM97" s="495"/>
      <c r="BN97" s="364"/>
      <c r="BO97" s="496"/>
      <c r="BP97" s="370"/>
      <c r="BQ97" s="367"/>
      <c r="BR97" s="426"/>
      <c r="BS97" s="426"/>
      <c r="BT97" s="437"/>
      <c r="BU97" s="498"/>
    </row>
    <row r="98" spans="1:73" ht="12" customHeight="1" x14ac:dyDescent="0.2">
      <c r="A98" s="504"/>
      <c r="B98" s="494"/>
      <c r="C98" s="363"/>
      <c r="D98" s="363"/>
      <c r="E98" s="500"/>
      <c r="F98" s="495"/>
      <c r="G98" s="496"/>
      <c r="H98" s="370">
        <v>46053</v>
      </c>
      <c r="I98" s="367" t="s">
        <v>391</v>
      </c>
      <c r="J98" s="426"/>
      <c r="K98" s="426"/>
      <c r="L98" s="426">
        <v>15.59</v>
      </c>
      <c r="M98" s="497" t="s">
        <v>350</v>
      </c>
      <c r="N98" s="494"/>
      <c r="O98" s="363"/>
      <c r="P98" s="363"/>
      <c r="Q98" s="495"/>
      <c r="R98" s="364"/>
      <c r="S98" s="496"/>
      <c r="T98" s="941">
        <v>46124</v>
      </c>
      <c r="U98" s="942" t="s">
        <v>379</v>
      </c>
      <c r="V98" s="943"/>
      <c r="W98" s="943"/>
      <c r="X98" s="943">
        <v>5.0999999999999996</v>
      </c>
      <c r="Y98" s="944" t="s">
        <v>350</v>
      </c>
      <c r="Z98" s="494">
        <v>46158</v>
      </c>
      <c r="AA98" s="363" t="s">
        <v>468</v>
      </c>
      <c r="AB98" s="363"/>
      <c r="AC98" s="505"/>
      <c r="AD98" s="364">
        <v>28.96</v>
      </c>
      <c r="AE98" s="496" t="s">
        <v>350</v>
      </c>
      <c r="AF98" s="941">
        <v>46195</v>
      </c>
      <c r="AG98" s="942" t="s">
        <v>409</v>
      </c>
      <c r="AH98" s="943"/>
      <c r="AI98" s="943"/>
      <c r="AJ98" s="943">
        <v>36.36</v>
      </c>
      <c r="AK98" s="944" t="s">
        <v>350</v>
      </c>
      <c r="AL98" s="494">
        <v>46208</v>
      </c>
      <c r="AM98" s="363" t="s">
        <v>184</v>
      </c>
      <c r="AN98" s="363"/>
      <c r="AO98" s="505">
        <v>182.79</v>
      </c>
      <c r="AP98" s="364">
        <v>15.5</v>
      </c>
      <c r="AQ98" s="496" t="s">
        <v>350</v>
      </c>
      <c r="AR98" s="370">
        <v>46254</v>
      </c>
      <c r="AS98" s="367" t="s">
        <v>185</v>
      </c>
      <c r="AT98" s="426"/>
      <c r="AU98" s="506">
        <v>168.92</v>
      </c>
      <c r="AV98" s="943">
        <v>37.47</v>
      </c>
      <c r="AW98" s="944" t="s">
        <v>350</v>
      </c>
      <c r="AX98" s="494"/>
      <c r="AY98" s="363"/>
      <c r="AZ98" s="363"/>
      <c r="BA98" s="495"/>
      <c r="BB98" s="364"/>
      <c r="BC98" s="496"/>
      <c r="BD98" s="370"/>
      <c r="BE98" s="367"/>
      <c r="BF98" s="426"/>
      <c r="BG98" s="426"/>
      <c r="BH98" s="437"/>
      <c r="BI98" s="498"/>
      <c r="BJ98" s="494"/>
      <c r="BK98" s="363"/>
      <c r="BL98" s="363"/>
      <c r="BM98" s="495"/>
      <c r="BN98" s="364"/>
      <c r="BO98" s="496"/>
      <c r="BP98" s="370"/>
      <c r="BQ98" s="367"/>
      <c r="BR98" s="426"/>
      <c r="BS98" s="426"/>
      <c r="BT98" s="437"/>
      <c r="BU98" s="498"/>
    </row>
    <row r="99" spans="1:73" ht="12" customHeight="1" x14ac:dyDescent="0.2">
      <c r="A99" s="504"/>
      <c r="B99" s="494"/>
      <c r="C99" s="363"/>
      <c r="D99" s="363"/>
      <c r="E99" s="500"/>
      <c r="F99" s="495"/>
      <c r="G99" s="496"/>
      <c r="H99" s="370">
        <v>46053</v>
      </c>
      <c r="I99" s="367" t="s">
        <v>393</v>
      </c>
      <c r="J99" s="426"/>
      <c r="K99" s="426"/>
      <c r="L99" s="426">
        <v>4.8499999999999996</v>
      </c>
      <c r="M99" s="497" t="s">
        <v>350</v>
      </c>
      <c r="N99" s="494"/>
      <c r="O99" s="363"/>
      <c r="P99" s="363"/>
      <c r="Q99" s="495"/>
      <c r="R99" s="364"/>
      <c r="S99" s="496"/>
      <c r="T99" s="941">
        <v>46124</v>
      </c>
      <c r="U99" s="942" t="s">
        <v>396</v>
      </c>
      <c r="V99" s="943"/>
      <c r="W99" s="506"/>
      <c r="X99" s="943">
        <v>9.48</v>
      </c>
      <c r="Y99" s="944" t="s">
        <v>350</v>
      </c>
      <c r="Z99" s="494">
        <v>46158</v>
      </c>
      <c r="AA99" s="363" t="s">
        <v>469</v>
      </c>
      <c r="AB99" s="363"/>
      <c r="AC99" s="505"/>
      <c r="AD99" s="364">
        <v>24.48</v>
      </c>
      <c r="AE99" s="496" t="s">
        <v>350</v>
      </c>
      <c r="AF99" s="941">
        <v>46196</v>
      </c>
      <c r="AG99" s="942" t="s">
        <v>495</v>
      </c>
      <c r="AH99" s="943"/>
      <c r="AI99" s="943"/>
      <c r="AJ99" s="943">
        <v>75</v>
      </c>
      <c r="AK99" s="944" t="s">
        <v>350</v>
      </c>
      <c r="AL99" s="494">
        <v>46211</v>
      </c>
      <c r="AM99" s="363" t="s">
        <v>359</v>
      </c>
      <c r="AN99" s="363"/>
      <c r="AO99" s="505"/>
      <c r="AP99" s="364">
        <v>45.87</v>
      </c>
      <c r="AQ99" s="496" t="s">
        <v>350</v>
      </c>
      <c r="AR99" s="370">
        <v>46255</v>
      </c>
      <c r="AS99" s="367" t="s">
        <v>562</v>
      </c>
      <c r="AT99" s="426"/>
      <c r="AU99" s="506">
        <v>35.65</v>
      </c>
      <c r="AV99" s="943">
        <v>35.65</v>
      </c>
      <c r="AW99" s="944" t="s">
        <v>350</v>
      </c>
      <c r="AX99" s="494"/>
      <c r="AY99" s="363"/>
      <c r="AZ99" s="363"/>
      <c r="BA99" s="495"/>
      <c r="BB99" s="364"/>
      <c r="BC99" s="496"/>
      <c r="BD99" s="370"/>
      <c r="BE99" s="367"/>
      <c r="BF99" s="426"/>
      <c r="BG99" s="426"/>
      <c r="BH99" s="437"/>
      <c r="BI99" s="498"/>
      <c r="BJ99" s="494"/>
      <c r="BK99" s="363"/>
      <c r="BL99" s="363"/>
      <c r="BM99" s="495"/>
      <c r="BN99" s="364"/>
      <c r="BO99" s="496"/>
      <c r="BP99" s="370"/>
      <c r="BQ99" s="367"/>
      <c r="BR99" s="426"/>
      <c r="BS99" s="426"/>
      <c r="BT99" s="437"/>
      <c r="BU99" s="498"/>
    </row>
    <row r="100" spans="1:73" ht="12" customHeight="1" x14ac:dyDescent="0.2">
      <c r="A100" s="504"/>
      <c r="B100" s="494"/>
      <c r="C100" s="363"/>
      <c r="D100" s="363"/>
      <c r="E100" s="500"/>
      <c r="F100" s="495"/>
      <c r="G100" s="496"/>
      <c r="H100" s="370">
        <v>46053</v>
      </c>
      <c r="I100" s="367" t="s">
        <v>394</v>
      </c>
      <c r="J100" s="426"/>
      <c r="K100" s="426"/>
      <c r="L100" s="426">
        <v>10.49</v>
      </c>
      <c r="M100" s="497" t="s">
        <v>350</v>
      </c>
      <c r="N100" s="494"/>
      <c r="O100" s="363"/>
      <c r="P100" s="363"/>
      <c r="Q100" s="495"/>
      <c r="R100" s="364"/>
      <c r="S100" s="496"/>
      <c r="T100" s="941">
        <v>46134</v>
      </c>
      <c r="U100" s="942" t="s">
        <v>184</v>
      </c>
      <c r="V100" s="943"/>
      <c r="W100" s="943"/>
      <c r="X100" s="943">
        <v>24.79</v>
      </c>
      <c r="Y100" s="944" t="s">
        <v>350</v>
      </c>
      <c r="Z100" s="494">
        <v>46158</v>
      </c>
      <c r="AA100" s="363" t="s">
        <v>470</v>
      </c>
      <c r="AB100" s="363"/>
      <c r="AC100" s="505"/>
      <c r="AD100" s="364">
        <v>71.7</v>
      </c>
      <c r="AE100" s="496" t="s">
        <v>350</v>
      </c>
      <c r="AF100" s="941">
        <v>46197</v>
      </c>
      <c r="AG100" s="942" t="s">
        <v>184</v>
      </c>
      <c r="AH100" s="943"/>
      <c r="AI100" s="943"/>
      <c r="AJ100" s="943">
        <v>9.99</v>
      </c>
      <c r="AK100" s="944" t="s">
        <v>350</v>
      </c>
      <c r="AL100" s="494">
        <v>46211</v>
      </c>
      <c r="AM100" s="363" t="s">
        <v>186</v>
      </c>
      <c r="AN100" s="363"/>
      <c r="AO100" s="505"/>
      <c r="AP100" s="364">
        <v>51.96</v>
      </c>
      <c r="AQ100" s="496" t="s">
        <v>350</v>
      </c>
      <c r="AR100" s="370">
        <v>46256</v>
      </c>
      <c r="AS100" s="367" t="s">
        <v>367</v>
      </c>
      <c r="AT100" s="426"/>
      <c r="AU100" s="426"/>
      <c r="AV100" s="943">
        <v>20.72</v>
      </c>
      <c r="AW100" s="944" t="s">
        <v>350</v>
      </c>
      <c r="AX100" s="494"/>
      <c r="AY100" s="363"/>
      <c r="AZ100" s="363"/>
      <c r="BA100" s="495"/>
      <c r="BB100" s="364"/>
      <c r="BC100" s="496"/>
      <c r="BD100" s="370"/>
      <c r="BE100" s="367"/>
      <c r="BF100" s="426"/>
      <c r="BG100" s="426"/>
      <c r="BH100" s="437"/>
      <c r="BI100" s="498"/>
      <c r="BJ100" s="494"/>
      <c r="BK100" s="363"/>
      <c r="BL100" s="363"/>
      <c r="BM100" s="495"/>
      <c r="BN100" s="364"/>
      <c r="BO100" s="496"/>
      <c r="BP100" s="370"/>
      <c r="BQ100" s="367"/>
      <c r="BR100" s="426"/>
      <c r="BS100" s="426"/>
      <c r="BT100" s="437"/>
      <c r="BU100" s="498"/>
    </row>
    <row r="101" spans="1:73" ht="12" customHeight="1" x14ac:dyDescent="0.2">
      <c r="A101" s="504"/>
      <c r="B101" s="494"/>
      <c r="C101" s="363"/>
      <c r="D101" s="363"/>
      <c r="E101" s="500"/>
      <c r="F101" s="495"/>
      <c r="G101" s="496"/>
      <c r="H101" s="370">
        <v>46053</v>
      </c>
      <c r="I101" s="367" t="s">
        <v>185</v>
      </c>
      <c r="J101" s="426"/>
      <c r="K101" s="506">
        <v>585.13</v>
      </c>
      <c r="L101" s="426">
        <v>7.67</v>
      </c>
      <c r="M101" s="497" t="s">
        <v>350</v>
      </c>
      <c r="N101" s="494"/>
      <c r="O101" s="363"/>
      <c r="P101" s="363"/>
      <c r="Q101" s="495"/>
      <c r="R101" s="364"/>
      <c r="S101" s="496"/>
      <c r="T101" s="941">
        <v>46136</v>
      </c>
      <c r="U101" s="942" t="s">
        <v>403</v>
      </c>
      <c r="V101" s="943"/>
      <c r="W101" s="943"/>
      <c r="X101" s="943">
        <v>47.94</v>
      </c>
      <c r="Y101" s="944" t="s">
        <v>350</v>
      </c>
      <c r="Z101" s="494">
        <v>46158</v>
      </c>
      <c r="AA101" s="363" t="s">
        <v>367</v>
      </c>
      <c r="AB101" s="363"/>
      <c r="AC101" s="505"/>
      <c r="AD101" s="364">
        <v>47.01</v>
      </c>
      <c r="AE101" s="496" t="s">
        <v>350</v>
      </c>
      <c r="AF101" s="941">
        <v>46197</v>
      </c>
      <c r="AG101" s="942" t="s">
        <v>480</v>
      </c>
      <c r="AH101" s="943"/>
      <c r="AI101" s="943"/>
      <c r="AJ101" s="943">
        <v>3</v>
      </c>
      <c r="AK101" s="944" t="s">
        <v>350</v>
      </c>
      <c r="AL101" s="494">
        <v>46211</v>
      </c>
      <c r="AM101" s="363" t="s">
        <v>347</v>
      </c>
      <c r="AN101" s="363"/>
      <c r="AO101" s="505"/>
      <c r="AP101" s="364">
        <v>32.42</v>
      </c>
      <c r="AQ101" s="496" t="s">
        <v>350</v>
      </c>
      <c r="AR101" s="370">
        <v>46258</v>
      </c>
      <c r="AS101" s="367" t="s">
        <v>511</v>
      </c>
      <c r="AT101" s="426"/>
      <c r="AU101" s="426"/>
      <c r="AV101" s="943">
        <v>0.95</v>
      </c>
      <c r="AW101" s="944" t="s">
        <v>350</v>
      </c>
      <c r="AX101" s="494"/>
      <c r="AY101" s="363"/>
      <c r="AZ101" s="363"/>
      <c r="BA101" s="495"/>
      <c r="BB101" s="364"/>
      <c r="BC101" s="496"/>
      <c r="BD101" s="370"/>
      <c r="BE101" s="367"/>
      <c r="BF101" s="426"/>
      <c r="BG101" s="426"/>
      <c r="BH101" s="437"/>
      <c r="BI101" s="498"/>
      <c r="BJ101" s="494"/>
      <c r="BK101" s="363"/>
      <c r="BL101" s="363"/>
      <c r="BM101" s="495"/>
      <c r="BN101" s="364"/>
      <c r="BO101" s="496"/>
      <c r="BP101" s="370"/>
      <c r="BQ101" s="367"/>
      <c r="BR101" s="426"/>
      <c r="BS101" s="426"/>
      <c r="BT101" s="437"/>
      <c r="BU101" s="498"/>
    </row>
    <row r="102" spans="1:73" ht="12" customHeight="1" x14ac:dyDescent="0.2">
      <c r="A102" s="504"/>
      <c r="B102" s="494"/>
      <c r="C102" s="363"/>
      <c r="D102" s="363"/>
      <c r="E102" s="500"/>
      <c r="F102" s="495"/>
      <c r="G102" s="496"/>
      <c r="H102" s="370">
        <v>46053</v>
      </c>
      <c r="I102" s="367" t="s">
        <v>392</v>
      </c>
      <c r="J102" s="426"/>
      <c r="K102" s="426"/>
      <c r="L102" s="426">
        <v>30.65</v>
      </c>
      <c r="M102" s="497" t="s">
        <v>350</v>
      </c>
      <c r="N102" s="494"/>
      <c r="O102" s="363"/>
      <c r="P102" s="363"/>
      <c r="Q102" s="495"/>
      <c r="R102" s="364"/>
      <c r="S102" s="496"/>
      <c r="T102" s="941">
        <v>46136</v>
      </c>
      <c r="U102" s="942" t="s">
        <v>442</v>
      </c>
      <c r="V102" s="943"/>
      <c r="W102" s="943"/>
      <c r="X102" s="943">
        <v>3.8</v>
      </c>
      <c r="Y102" s="944" t="s">
        <v>350</v>
      </c>
      <c r="Z102" s="494">
        <v>46158</v>
      </c>
      <c r="AA102" s="363" t="s">
        <v>471</v>
      </c>
      <c r="AB102" s="363"/>
      <c r="AC102" s="505"/>
      <c r="AD102" s="364">
        <v>28.9</v>
      </c>
      <c r="AE102" s="496" t="s">
        <v>350</v>
      </c>
      <c r="AF102" s="941">
        <v>46197</v>
      </c>
      <c r="AG102" s="942" t="s">
        <v>480</v>
      </c>
      <c r="AH102" s="943"/>
      <c r="AI102" s="943"/>
      <c r="AJ102" s="943">
        <v>3</v>
      </c>
      <c r="AK102" s="944" t="s">
        <v>350</v>
      </c>
      <c r="AL102" s="494">
        <v>46215</v>
      </c>
      <c r="AM102" s="363" t="s">
        <v>511</v>
      </c>
      <c r="AN102" s="363" t="s">
        <v>512</v>
      </c>
      <c r="AO102" s="505"/>
      <c r="AP102" s="364">
        <v>16.649999999999999</v>
      </c>
      <c r="AQ102" s="496" t="s">
        <v>350</v>
      </c>
      <c r="AR102" s="370">
        <v>46258</v>
      </c>
      <c r="AS102" s="367" t="s">
        <v>511</v>
      </c>
      <c r="AT102" s="426"/>
      <c r="AU102" s="426"/>
      <c r="AV102" s="943">
        <v>1.2</v>
      </c>
      <c r="AW102" s="944" t="s">
        <v>350</v>
      </c>
      <c r="AX102" s="494"/>
      <c r="AY102" s="363"/>
      <c r="AZ102" s="363"/>
      <c r="BA102" s="495"/>
      <c r="BB102" s="364"/>
      <c r="BC102" s="496"/>
      <c r="BD102" s="370"/>
      <c r="BE102" s="367"/>
      <c r="BF102" s="426"/>
      <c r="BG102" s="426"/>
      <c r="BH102" s="437"/>
      <c r="BI102" s="498"/>
      <c r="BJ102" s="494"/>
      <c r="BK102" s="363"/>
      <c r="BL102" s="363"/>
      <c r="BM102" s="495"/>
      <c r="BN102" s="364"/>
      <c r="BO102" s="496"/>
      <c r="BP102" s="370"/>
      <c r="BQ102" s="367"/>
      <c r="BR102" s="426"/>
      <c r="BS102" s="426"/>
      <c r="BT102" s="437"/>
      <c r="BU102" s="498"/>
    </row>
    <row r="103" spans="1:73" ht="12" customHeight="1" x14ac:dyDescent="0.2">
      <c r="A103" s="504"/>
      <c r="B103" s="494"/>
      <c r="C103" s="363"/>
      <c r="D103" s="363"/>
      <c r="E103" s="500"/>
      <c r="F103" s="495"/>
      <c r="G103" s="496"/>
      <c r="H103" s="941">
        <v>46056</v>
      </c>
      <c r="I103" s="942" t="s">
        <v>396</v>
      </c>
      <c r="J103" s="943"/>
      <c r="K103" s="943"/>
      <c r="L103" s="943">
        <v>5.79</v>
      </c>
      <c r="M103" s="944" t="s">
        <v>350</v>
      </c>
      <c r="N103" s="494"/>
      <c r="O103" s="363"/>
      <c r="P103" s="363"/>
      <c r="Q103" s="495"/>
      <c r="R103" s="364"/>
      <c r="S103" s="496"/>
      <c r="T103" s="941">
        <v>46137</v>
      </c>
      <c r="U103" s="942" t="s">
        <v>36</v>
      </c>
      <c r="V103" s="943"/>
      <c r="W103" s="943"/>
      <c r="X103" s="943">
        <v>39.630000000000003</v>
      </c>
      <c r="Y103" s="944" t="s">
        <v>350</v>
      </c>
      <c r="Z103" s="494">
        <v>46159</v>
      </c>
      <c r="AA103" s="363" t="s">
        <v>476</v>
      </c>
      <c r="AB103" s="363"/>
      <c r="AC103" s="505"/>
      <c r="AD103" s="364">
        <v>20.3</v>
      </c>
      <c r="AE103" s="496" t="s">
        <v>350</v>
      </c>
      <c r="AF103" s="941">
        <v>46198</v>
      </c>
      <c r="AG103" s="942" t="s">
        <v>504</v>
      </c>
      <c r="AH103" s="943" t="s">
        <v>505</v>
      </c>
      <c r="AI103" s="943"/>
      <c r="AJ103" s="943">
        <v>143</v>
      </c>
      <c r="AK103" s="944" t="s">
        <v>350</v>
      </c>
      <c r="AL103" s="494">
        <v>46220</v>
      </c>
      <c r="AM103" s="363" t="s">
        <v>522</v>
      </c>
      <c r="AN103" s="363"/>
      <c r="AO103" s="505"/>
      <c r="AP103" s="364">
        <v>43.5</v>
      </c>
      <c r="AQ103" s="496" t="s">
        <v>350</v>
      </c>
      <c r="AR103" s="370">
        <v>46259</v>
      </c>
      <c r="AS103" s="367" t="s">
        <v>442</v>
      </c>
      <c r="AT103" s="426"/>
      <c r="AU103" s="426"/>
      <c r="AV103" s="943">
        <v>11.15</v>
      </c>
      <c r="AW103" s="944" t="s">
        <v>350</v>
      </c>
      <c r="AX103" s="494"/>
      <c r="AY103" s="363"/>
      <c r="AZ103" s="363"/>
      <c r="BA103" s="495"/>
      <c r="BB103" s="364"/>
      <c r="BC103" s="496"/>
      <c r="BD103" s="370"/>
      <c r="BE103" s="367"/>
      <c r="BF103" s="426"/>
      <c r="BG103" s="426"/>
      <c r="BH103" s="437"/>
      <c r="BI103" s="498"/>
      <c r="BJ103" s="494"/>
      <c r="BK103" s="363"/>
      <c r="BL103" s="363"/>
      <c r="BM103" s="495"/>
      <c r="BN103" s="364"/>
      <c r="BO103" s="496"/>
      <c r="BP103" s="370"/>
      <c r="BQ103" s="367"/>
      <c r="BR103" s="426"/>
      <c r="BS103" s="426"/>
      <c r="BT103" s="437"/>
      <c r="BU103" s="498"/>
    </row>
    <row r="104" spans="1:73" ht="12" customHeight="1" x14ac:dyDescent="0.2">
      <c r="A104" s="504"/>
      <c r="B104" s="494"/>
      <c r="C104" s="363"/>
      <c r="D104" s="363"/>
      <c r="E104" s="500"/>
      <c r="F104" s="495"/>
      <c r="G104" s="496"/>
      <c r="H104" s="941">
        <v>46056</v>
      </c>
      <c r="I104" s="942" t="s">
        <v>397</v>
      </c>
      <c r="J104" s="943"/>
      <c r="K104" s="943"/>
      <c r="L104" s="943">
        <v>9.85</v>
      </c>
      <c r="M104" s="944" t="s">
        <v>350</v>
      </c>
      <c r="N104" s="494"/>
      <c r="O104" s="363"/>
      <c r="P104" s="363"/>
      <c r="Q104" s="495"/>
      <c r="R104" s="364"/>
      <c r="S104" s="496"/>
      <c r="T104" s="941">
        <v>46137</v>
      </c>
      <c r="U104" s="942" t="s">
        <v>359</v>
      </c>
      <c r="V104" s="943"/>
      <c r="W104" s="506">
        <v>848.51</v>
      </c>
      <c r="X104" s="943">
        <v>262.70999999999998</v>
      </c>
      <c r="Y104" s="944" t="s">
        <v>350</v>
      </c>
      <c r="Z104" s="494">
        <v>46164</v>
      </c>
      <c r="AA104" s="363" t="s">
        <v>409</v>
      </c>
      <c r="AB104" s="363"/>
      <c r="AC104" s="505"/>
      <c r="AD104" s="364">
        <v>23.19</v>
      </c>
      <c r="AE104" s="496" t="s">
        <v>350</v>
      </c>
      <c r="AF104" s="941">
        <v>46198</v>
      </c>
      <c r="AG104" s="942" t="s">
        <v>504</v>
      </c>
      <c r="AH104" s="943" t="s">
        <v>505</v>
      </c>
      <c r="AI104" s="506">
        <v>155.28</v>
      </c>
      <c r="AJ104" s="943">
        <v>32.1</v>
      </c>
      <c r="AK104" s="944" t="s">
        <v>350</v>
      </c>
      <c r="AL104" s="494">
        <v>46221</v>
      </c>
      <c r="AM104" s="363" t="s">
        <v>523</v>
      </c>
      <c r="AN104" s="363"/>
      <c r="AO104" s="505"/>
      <c r="AP104" s="364">
        <v>10.9</v>
      </c>
      <c r="AQ104" s="496" t="s">
        <v>350</v>
      </c>
      <c r="AR104" s="370">
        <v>46259</v>
      </c>
      <c r="AS104" s="367" t="s">
        <v>185</v>
      </c>
      <c r="AT104" s="426"/>
      <c r="AU104" s="506">
        <v>92.25</v>
      </c>
      <c r="AV104" s="943">
        <v>58.23</v>
      </c>
      <c r="AW104" s="944" t="s">
        <v>350</v>
      </c>
      <c r="AX104" s="494"/>
      <c r="AY104" s="363"/>
      <c r="AZ104" s="363"/>
      <c r="BA104" s="495"/>
      <c r="BB104" s="364"/>
      <c r="BC104" s="496"/>
      <c r="BD104" s="370"/>
      <c r="BE104" s="367"/>
      <c r="BF104" s="426"/>
      <c r="BG104" s="426"/>
      <c r="BH104" s="437"/>
      <c r="BI104" s="498"/>
      <c r="BJ104" s="494"/>
      <c r="BK104" s="363"/>
      <c r="BL104" s="363"/>
      <c r="BM104" s="495"/>
      <c r="BN104" s="364"/>
      <c r="BO104" s="496"/>
      <c r="BP104" s="370"/>
      <c r="BQ104" s="367"/>
      <c r="BR104" s="426"/>
      <c r="BS104" s="426"/>
      <c r="BT104" s="437"/>
      <c r="BU104" s="498"/>
    </row>
    <row r="105" spans="1:73" ht="12" customHeight="1" x14ac:dyDescent="0.2">
      <c r="A105" s="504"/>
      <c r="B105" s="494"/>
      <c r="C105" s="363"/>
      <c r="D105" s="363"/>
      <c r="E105" s="500"/>
      <c r="F105" s="495"/>
      <c r="G105" s="496"/>
      <c r="H105" s="941">
        <v>46056</v>
      </c>
      <c r="I105" s="942" t="s">
        <v>185</v>
      </c>
      <c r="J105" s="943"/>
      <c r="K105" s="943"/>
      <c r="L105" s="943">
        <v>10.27</v>
      </c>
      <c r="M105" s="944" t="s">
        <v>350</v>
      </c>
      <c r="N105" s="494"/>
      <c r="O105" s="363"/>
      <c r="P105" s="363"/>
      <c r="Q105" s="495"/>
      <c r="R105" s="364"/>
      <c r="S105" s="496"/>
      <c r="T105" s="941">
        <v>46139</v>
      </c>
      <c r="U105" s="942" t="s">
        <v>184</v>
      </c>
      <c r="V105" s="943"/>
      <c r="W105" s="943"/>
      <c r="X105" s="943">
        <v>28.99</v>
      </c>
      <c r="Y105" s="944" t="s">
        <v>350</v>
      </c>
      <c r="Z105" s="494">
        <v>46164</v>
      </c>
      <c r="AA105" s="363" t="s">
        <v>477</v>
      </c>
      <c r="AB105" s="363"/>
      <c r="AC105" s="505"/>
      <c r="AD105" s="364">
        <v>12.11</v>
      </c>
      <c r="AE105" s="496" t="s">
        <v>350</v>
      </c>
      <c r="AF105" s="941">
        <v>46201</v>
      </c>
      <c r="AG105" s="942" t="s">
        <v>502</v>
      </c>
      <c r="AH105" s="943" t="s">
        <v>503</v>
      </c>
      <c r="AI105" s="506">
        <v>788.39</v>
      </c>
      <c r="AJ105" s="943">
        <v>11.5</v>
      </c>
      <c r="AK105" s="944" t="s">
        <v>350</v>
      </c>
      <c r="AL105" s="494">
        <v>46221</v>
      </c>
      <c r="AM105" s="363" t="s">
        <v>524</v>
      </c>
      <c r="AN105" s="363"/>
      <c r="AO105" s="505"/>
      <c r="AP105" s="364">
        <v>33.99</v>
      </c>
      <c r="AQ105" s="496" t="s">
        <v>350</v>
      </c>
      <c r="AR105" s="370">
        <v>46261</v>
      </c>
      <c r="AS105" s="367" t="s">
        <v>403</v>
      </c>
      <c r="AT105" s="426"/>
      <c r="AU105" s="506">
        <v>17.010000000000002</v>
      </c>
      <c r="AV105" s="943">
        <v>17.010000000000002</v>
      </c>
      <c r="AW105" s="944" t="s">
        <v>350</v>
      </c>
      <c r="AX105" s="494"/>
      <c r="AY105" s="363"/>
      <c r="AZ105" s="363"/>
      <c r="BA105" s="495"/>
      <c r="BB105" s="364"/>
      <c r="BC105" s="496"/>
      <c r="BD105" s="370"/>
      <c r="BE105" s="367"/>
      <c r="BF105" s="426"/>
      <c r="BG105" s="426"/>
      <c r="BH105" s="437"/>
      <c r="BI105" s="498"/>
      <c r="BJ105" s="494"/>
      <c r="BK105" s="363"/>
      <c r="BL105" s="363"/>
      <c r="BM105" s="495"/>
      <c r="BN105" s="364"/>
      <c r="BO105" s="496"/>
      <c r="BP105" s="370"/>
      <c r="BQ105" s="367"/>
      <c r="BR105" s="426"/>
      <c r="BS105" s="426"/>
      <c r="BT105" s="437"/>
      <c r="BU105" s="498"/>
    </row>
    <row r="106" spans="1:73" ht="12" customHeight="1" x14ac:dyDescent="0.2">
      <c r="A106" s="504"/>
      <c r="B106" s="494"/>
      <c r="C106" s="363"/>
      <c r="D106" s="363"/>
      <c r="E106" s="500"/>
      <c r="F106" s="495"/>
      <c r="G106" s="496"/>
      <c r="H106" s="941">
        <v>46057</v>
      </c>
      <c r="I106" s="942" t="s">
        <v>36</v>
      </c>
      <c r="J106" s="943"/>
      <c r="K106" s="943"/>
      <c r="L106" s="943">
        <v>17.059999999999999</v>
      </c>
      <c r="M106" s="944" t="s">
        <v>350</v>
      </c>
      <c r="N106" s="494"/>
      <c r="O106" s="363"/>
      <c r="P106" s="363"/>
      <c r="Q106" s="495"/>
      <c r="R106" s="364"/>
      <c r="S106" s="496"/>
      <c r="T106" s="941"/>
      <c r="U106" s="942"/>
      <c r="V106" s="943"/>
      <c r="W106" s="943"/>
      <c r="X106" s="943"/>
      <c r="Y106" s="944"/>
      <c r="Z106" s="494">
        <v>46165</v>
      </c>
      <c r="AA106" s="363" t="s">
        <v>367</v>
      </c>
      <c r="AB106" s="363"/>
      <c r="AC106" s="505"/>
      <c r="AD106" s="364">
        <v>63.82</v>
      </c>
      <c r="AE106" s="496" t="s">
        <v>350</v>
      </c>
      <c r="AF106" s="941"/>
      <c r="AG106" s="942"/>
      <c r="AH106" s="943"/>
      <c r="AI106" s="943"/>
      <c r="AJ106" s="943"/>
      <c r="AK106" s="944"/>
      <c r="AL106" s="494">
        <v>46221</v>
      </c>
      <c r="AM106" s="363" t="s">
        <v>525</v>
      </c>
      <c r="AN106" s="363"/>
      <c r="AO106" s="505"/>
      <c r="AP106" s="364">
        <v>34.15</v>
      </c>
      <c r="AQ106" s="496" t="s">
        <v>350</v>
      </c>
      <c r="AR106" s="370">
        <v>46262</v>
      </c>
      <c r="AS106" s="367" t="s">
        <v>564</v>
      </c>
      <c r="AT106" s="426"/>
      <c r="AU106" s="426"/>
      <c r="AV106" s="943">
        <v>12</v>
      </c>
      <c r="AW106" s="944" t="s">
        <v>350</v>
      </c>
      <c r="AX106" s="494"/>
      <c r="AY106" s="363"/>
      <c r="AZ106" s="363"/>
      <c r="BA106" s="495"/>
      <c r="BB106" s="364"/>
      <c r="BC106" s="496"/>
      <c r="BD106" s="370"/>
      <c r="BE106" s="367"/>
      <c r="BF106" s="426"/>
      <c r="BG106" s="426"/>
      <c r="BH106" s="437"/>
      <c r="BI106" s="498"/>
      <c r="BJ106" s="494"/>
      <c r="BK106" s="363"/>
      <c r="BL106" s="363"/>
      <c r="BM106" s="495"/>
      <c r="BN106" s="364"/>
      <c r="BO106" s="496"/>
      <c r="BP106" s="370"/>
      <c r="BQ106" s="367"/>
      <c r="BR106" s="426"/>
      <c r="BS106" s="426"/>
      <c r="BT106" s="437"/>
      <c r="BU106" s="498"/>
    </row>
    <row r="107" spans="1:73" ht="12" customHeight="1" x14ac:dyDescent="0.2">
      <c r="A107" s="504"/>
      <c r="B107" s="494"/>
      <c r="C107" s="363"/>
      <c r="D107" s="363"/>
      <c r="E107" s="500"/>
      <c r="F107" s="495"/>
      <c r="G107" s="496"/>
      <c r="H107" s="941">
        <v>46060</v>
      </c>
      <c r="I107" s="942" t="s">
        <v>398</v>
      </c>
      <c r="J107" s="943"/>
      <c r="K107" s="943"/>
      <c r="L107" s="943">
        <v>22</v>
      </c>
      <c r="M107" s="944" t="s">
        <v>350</v>
      </c>
      <c r="N107" s="494"/>
      <c r="O107" s="363"/>
      <c r="P107" s="363"/>
      <c r="Q107" s="495"/>
      <c r="R107" s="364"/>
      <c r="S107" s="496"/>
      <c r="T107" s="941"/>
      <c r="U107" s="942"/>
      <c r="V107" s="943"/>
      <c r="W107" s="943"/>
      <c r="X107" s="943"/>
      <c r="Y107" s="944"/>
      <c r="Z107" s="494">
        <v>46168</v>
      </c>
      <c r="AA107" s="363" t="s">
        <v>478</v>
      </c>
      <c r="AB107" s="363"/>
      <c r="AC107" s="495"/>
      <c r="AD107" s="364">
        <v>31.35</v>
      </c>
      <c r="AE107" s="496" t="s">
        <v>350</v>
      </c>
      <c r="AF107" s="941"/>
      <c r="AG107" s="942"/>
      <c r="AH107" s="943"/>
      <c r="AI107" s="943"/>
      <c r="AJ107" s="943"/>
      <c r="AK107" s="944"/>
      <c r="AL107" s="494">
        <v>46221</v>
      </c>
      <c r="AM107" s="363" t="s">
        <v>526</v>
      </c>
      <c r="AN107" s="363"/>
      <c r="AO107" s="505"/>
      <c r="AP107" s="364">
        <v>50</v>
      </c>
      <c r="AQ107" s="496" t="s">
        <v>350</v>
      </c>
      <c r="AR107" s="370">
        <v>46263</v>
      </c>
      <c r="AS107" s="367" t="s">
        <v>185</v>
      </c>
      <c r="AT107" s="426"/>
      <c r="AU107" s="426"/>
      <c r="AV107" s="943">
        <v>16.38</v>
      </c>
      <c r="AW107" s="944" t="s">
        <v>350</v>
      </c>
      <c r="AX107" s="494"/>
      <c r="AY107" s="363"/>
      <c r="AZ107" s="363"/>
      <c r="BA107" s="495"/>
      <c r="BB107" s="364"/>
      <c r="BC107" s="496"/>
      <c r="BD107" s="370"/>
      <c r="BE107" s="367"/>
      <c r="BF107" s="426"/>
      <c r="BG107" s="426"/>
      <c r="BH107" s="437"/>
      <c r="BI107" s="498"/>
      <c r="BJ107" s="494"/>
      <c r="BK107" s="363"/>
      <c r="BL107" s="363"/>
      <c r="BM107" s="495"/>
      <c r="BN107" s="364"/>
      <c r="BO107" s="496"/>
      <c r="BP107" s="370"/>
      <c r="BQ107" s="367"/>
      <c r="BR107" s="426"/>
      <c r="BS107" s="426"/>
      <c r="BT107" s="437"/>
      <c r="BU107" s="498"/>
    </row>
    <row r="108" spans="1:73" ht="12" customHeight="1" x14ac:dyDescent="0.2">
      <c r="A108" s="504"/>
      <c r="B108" s="494"/>
      <c r="C108" s="363"/>
      <c r="D108" s="363"/>
      <c r="E108" s="500"/>
      <c r="F108" s="495"/>
      <c r="G108" s="496"/>
      <c r="H108" s="941">
        <v>46060</v>
      </c>
      <c r="I108" s="942" t="s">
        <v>399</v>
      </c>
      <c r="J108" s="943"/>
      <c r="K108" s="943"/>
      <c r="L108" s="943">
        <v>26.9</v>
      </c>
      <c r="M108" s="944" t="s">
        <v>350</v>
      </c>
      <c r="N108" s="494"/>
      <c r="O108" s="363"/>
      <c r="P108" s="363"/>
      <c r="Q108" s="495"/>
      <c r="R108" s="364"/>
      <c r="S108" s="496"/>
      <c r="T108" s="941"/>
      <c r="U108" s="942"/>
      <c r="V108" s="943"/>
      <c r="W108" s="943"/>
      <c r="X108" s="943"/>
      <c r="Y108" s="944"/>
      <c r="Z108" s="494">
        <v>46169</v>
      </c>
      <c r="AA108" s="363" t="s">
        <v>363</v>
      </c>
      <c r="AB108" s="363"/>
      <c r="AC108" s="495"/>
      <c r="AD108" s="364">
        <v>54.25</v>
      </c>
      <c r="AE108" s="496" t="s">
        <v>350</v>
      </c>
      <c r="AF108" s="941"/>
      <c r="AG108" s="942"/>
      <c r="AH108" s="943"/>
      <c r="AI108" s="943"/>
      <c r="AJ108" s="943"/>
      <c r="AK108" s="944"/>
      <c r="AL108" s="494">
        <v>46221</v>
      </c>
      <c r="AM108" s="363" t="s">
        <v>367</v>
      </c>
      <c r="AN108" s="363"/>
      <c r="AO108" s="505">
        <v>343.96</v>
      </c>
      <c r="AP108" s="364">
        <v>24.52</v>
      </c>
      <c r="AQ108" s="496" t="s">
        <v>350</v>
      </c>
      <c r="AR108" s="370">
        <v>46263</v>
      </c>
      <c r="AS108" s="367" t="s">
        <v>185</v>
      </c>
      <c r="AT108" s="426"/>
      <c r="AU108" s="506">
        <v>36.43</v>
      </c>
      <c r="AV108" s="943">
        <v>8.0500000000000007</v>
      </c>
      <c r="AW108" s="944" t="s">
        <v>350</v>
      </c>
      <c r="AX108" s="494"/>
      <c r="AY108" s="363"/>
      <c r="AZ108" s="363"/>
      <c r="BA108" s="495"/>
      <c r="BB108" s="364"/>
      <c r="BC108" s="496"/>
      <c r="BD108" s="370"/>
      <c r="BE108" s="367"/>
      <c r="BF108" s="426"/>
      <c r="BG108" s="426"/>
      <c r="BH108" s="437"/>
      <c r="BI108" s="498"/>
      <c r="BJ108" s="494"/>
      <c r="BK108" s="363"/>
      <c r="BL108" s="363"/>
      <c r="BM108" s="495"/>
      <c r="BN108" s="364"/>
      <c r="BO108" s="496"/>
      <c r="BP108" s="370"/>
      <c r="BQ108" s="367"/>
      <c r="BR108" s="426"/>
      <c r="BS108" s="426"/>
      <c r="BT108" s="437"/>
      <c r="BU108" s="498"/>
    </row>
    <row r="109" spans="1:73" ht="12" customHeight="1" x14ac:dyDescent="0.2">
      <c r="A109" s="504"/>
      <c r="B109" s="494"/>
      <c r="C109" s="363"/>
      <c r="D109" s="363"/>
      <c r="E109" s="500"/>
      <c r="F109" s="495"/>
      <c r="G109" s="496"/>
      <c r="H109" s="941">
        <v>46060</v>
      </c>
      <c r="I109" s="942" t="s">
        <v>400</v>
      </c>
      <c r="J109" s="943"/>
      <c r="K109" s="943"/>
      <c r="L109" s="943">
        <v>5.71</v>
      </c>
      <c r="M109" s="944" t="s">
        <v>350</v>
      </c>
      <c r="N109" s="494"/>
      <c r="O109" s="363"/>
      <c r="P109" s="363"/>
      <c r="Q109" s="495"/>
      <c r="R109" s="364"/>
      <c r="S109" s="496"/>
      <c r="T109" s="941"/>
      <c r="U109" s="942"/>
      <c r="V109" s="943"/>
      <c r="W109" s="943"/>
      <c r="X109" s="943"/>
      <c r="Y109" s="944"/>
      <c r="Z109" s="494">
        <v>46170</v>
      </c>
      <c r="AA109" s="363" t="s">
        <v>373</v>
      </c>
      <c r="AB109" s="363"/>
      <c r="AC109" s="500">
        <v>458.98</v>
      </c>
      <c r="AD109" s="364">
        <v>24.5</v>
      </c>
      <c r="AE109" s="496" t="s">
        <v>350</v>
      </c>
      <c r="AF109" s="941"/>
      <c r="AG109" s="942"/>
      <c r="AH109" s="943"/>
      <c r="AI109" s="943"/>
      <c r="AJ109" s="943"/>
      <c r="AK109" s="944"/>
      <c r="AL109" s="494">
        <v>46222</v>
      </c>
      <c r="AM109" s="363" t="s">
        <v>460</v>
      </c>
      <c r="AN109" s="363" t="s">
        <v>361</v>
      </c>
      <c r="AO109" s="505"/>
      <c r="AP109" s="364">
        <v>-21.78</v>
      </c>
      <c r="AQ109" s="496" t="s">
        <v>350</v>
      </c>
      <c r="AR109" s="370"/>
      <c r="AS109" s="367"/>
      <c r="AT109" s="426"/>
      <c r="AU109" s="426"/>
      <c r="AV109" s="943"/>
      <c r="AW109" s="944"/>
      <c r="AX109" s="494"/>
      <c r="AY109" s="363"/>
      <c r="AZ109" s="363"/>
      <c r="BA109" s="495"/>
      <c r="BB109" s="364"/>
      <c r="BC109" s="496"/>
      <c r="BD109" s="370"/>
      <c r="BE109" s="367"/>
      <c r="BF109" s="426"/>
      <c r="BG109" s="426"/>
      <c r="BH109" s="437"/>
      <c r="BI109" s="498"/>
      <c r="BJ109" s="494"/>
      <c r="BK109" s="363"/>
      <c r="BL109" s="363"/>
      <c r="BM109" s="495"/>
      <c r="BN109" s="364"/>
      <c r="BO109" s="496"/>
      <c r="BP109" s="370"/>
      <c r="BQ109" s="367"/>
      <c r="BR109" s="426"/>
      <c r="BS109" s="426"/>
      <c r="BT109" s="437"/>
      <c r="BU109" s="498"/>
    </row>
    <row r="110" spans="1:73" ht="12" customHeight="1" x14ac:dyDescent="0.2">
      <c r="A110" s="504"/>
      <c r="B110" s="494"/>
      <c r="C110" s="363"/>
      <c r="D110" s="363"/>
      <c r="E110" s="500"/>
      <c r="F110" s="495"/>
      <c r="G110" s="496"/>
      <c r="H110" s="941">
        <v>46060</v>
      </c>
      <c r="I110" s="942" t="s">
        <v>359</v>
      </c>
      <c r="J110" s="943"/>
      <c r="K110" s="943"/>
      <c r="L110" s="943">
        <v>12.54</v>
      </c>
      <c r="M110" s="944" t="s">
        <v>350</v>
      </c>
      <c r="N110" s="494"/>
      <c r="O110" s="363"/>
      <c r="P110" s="363"/>
      <c r="Q110" s="495"/>
      <c r="R110" s="364"/>
      <c r="S110" s="496"/>
      <c r="T110" s="941"/>
      <c r="U110" s="942"/>
      <c r="V110" s="943"/>
      <c r="W110" s="943"/>
      <c r="X110" s="943"/>
      <c r="Y110" s="944"/>
      <c r="Z110" s="494"/>
      <c r="AA110" s="363"/>
      <c r="AB110" s="363"/>
      <c r="AC110" s="495"/>
      <c r="AD110" s="364"/>
      <c r="AE110" s="496"/>
      <c r="AF110" s="941"/>
      <c r="AG110" s="942"/>
      <c r="AH110" s="943"/>
      <c r="AI110" s="943"/>
      <c r="AJ110" s="943"/>
      <c r="AK110" s="944"/>
      <c r="AL110" s="494">
        <v>46223</v>
      </c>
      <c r="AM110" s="363" t="s">
        <v>389</v>
      </c>
      <c r="AN110" s="363"/>
      <c r="AO110" s="505"/>
      <c r="AP110" s="364">
        <v>24.96</v>
      </c>
      <c r="AQ110" s="496" t="s">
        <v>350</v>
      </c>
      <c r="AR110" s="370"/>
      <c r="AS110" s="367"/>
      <c r="AT110" s="426"/>
      <c r="AU110" s="426"/>
      <c r="AV110" s="943"/>
      <c r="AW110" s="944"/>
      <c r="AX110" s="494"/>
      <c r="AY110" s="363"/>
      <c r="AZ110" s="363"/>
      <c r="BA110" s="495"/>
      <c r="BB110" s="364"/>
      <c r="BC110" s="496"/>
      <c r="BD110" s="370"/>
      <c r="BE110" s="367"/>
      <c r="BF110" s="426"/>
      <c r="BG110" s="426"/>
      <c r="BH110" s="437"/>
      <c r="BI110" s="498"/>
      <c r="BJ110" s="494"/>
      <c r="BK110" s="363"/>
      <c r="BL110" s="363"/>
      <c r="BM110" s="495"/>
      <c r="BN110" s="364"/>
      <c r="BO110" s="496"/>
      <c r="BP110" s="370"/>
      <c r="BQ110" s="367"/>
      <c r="BR110" s="426"/>
      <c r="BS110" s="426"/>
      <c r="BT110" s="437"/>
      <c r="BU110" s="498"/>
    </row>
    <row r="111" spans="1:73" ht="12" customHeight="1" x14ac:dyDescent="0.2">
      <c r="A111" s="504"/>
      <c r="B111" s="494"/>
      <c r="C111" s="363"/>
      <c r="D111" s="363"/>
      <c r="E111" s="500"/>
      <c r="F111" s="495"/>
      <c r="G111" s="496"/>
      <c r="H111" s="941">
        <v>46060</v>
      </c>
      <c r="I111" s="942" t="s">
        <v>367</v>
      </c>
      <c r="J111" s="943"/>
      <c r="K111" s="943"/>
      <c r="L111" s="943">
        <v>26.4</v>
      </c>
      <c r="M111" s="944" t="s">
        <v>350</v>
      </c>
      <c r="N111" s="494"/>
      <c r="O111" s="363"/>
      <c r="P111" s="363"/>
      <c r="Q111" s="495"/>
      <c r="R111" s="364"/>
      <c r="S111" s="496"/>
      <c r="T111" s="941"/>
      <c r="U111" s="942"/>
      <c r="V111" s="943"/>
      <c r="W111" s="943"/>
      <c r="X111" s="943"/>
      <c r="Y111" s="944"/>
      <c r="Z111" s="494"/>
      <c r="AA111" s="363"/>
      <c r="AB111" s="363"/>
      <c r="AC111" s="500"/>
      <c r="AD111" s="364"/>
      <c r="AE111" s="496"/>
      <c r="AF111" s="941"/>
      <c r="AG111" s="942"/>
      <c r="AH111" s="943"/>
      <c r="AI111" s="943"/>
      <c r="AJ111" s="943"/>
      <c r="AK111" s="944"/>
      <c r="AL111" s="494">
        <v>46224</v>
      </c>
      <c r="AM111" s="363" t="s">
        <v>373</v>
      </c>
      <c r="AN111" s="363"/>
      <c r="AO111" s="505"/>
      <c r="AP111" s="364">
        <v>11.15</v>
      </c>
      <c r="AQ111" s="496" t="s">
        <v>350</v>
      </c>
      <c r="AR111" s="370"/>
      <c r="AS111" s="367"/>
      <c r="AT111" s="426"/>
      <c r="AU111" s="426"/>
      <c r="AV111" s="943"/>
      <c r="AW111" s="944"/>
      <c r="AX111" s="494"/>
      <c r="AY111" s="363"/>
      <c r="AZ111" s="363"/>
      <c r="BA111" s="495"/>
      <c r="BB111" s="364"/>
      <c r="BC111" s="496"/>
      <c r="BD111" s="370"/>
      <c r="BE111" s="367"/>
      <c r="BF111" s="426"/>
      <c r="BG111" s="426"/>
      <c r="BH111" s="437"/>
      <c r="BI111" s="498"/>
      <c r="BJ111" s="494"/>
      <c r="BK111" s="363"/>
      <c r="BL111" s="363"/>
      <c r="BM111" s="495"/>
      <c r="BN111" s="364"/>
      <c r="BO111" s="496"/>
      <c r="BP111" s="370"/>
      <c r="BQ111" s="367"/>
      <c r="BR111" s="426"/>
      <c r="BS111" s="426"/>
      <c r="BT111" s="437"/>
      <c r="BU111" s="498"/>
    </row>
    <row r="112" spans="1:73" ht="12" customHeight="1" x14ac:dyDescent="0.2">
      <c r="A112" s="504"/>
      <c r="B112" s="494"/>
      <c r="C112" s="363"/>
      <c r="D112" s="363"/>
      <c r="E112" s="500"/>
      <c r="F112" s="495"/>
      <c r="G112" s="496"/>
      <c r="H112" s="941">
        <v>46061</v>
      </c>
      <c r="I112" s="942" t="s">
        <v>401</v>
      </c>
      <c r="J112" s="943"/>
      <c r="K112" s="506"/>
      <c r="L112" s="943">
        <v>110</v>
      </c>
      <c r="M112" s="944" t="s">
        <v>350</v>
      </c>
      <c r="N112" s="494"/>
      <c r="O112" s="363"/>
      <c r="P112" s="363"/>
      <c r="Q112" s="495"/>
      <c r="R112" s="364"/>
      <c r="S112" s="496"/>
      <c r="T112" s="941"/>
      <c r="U112" s="942"/>
      <c r="V112" s="943"/>
      <c r="W112" s="943"/>
      <c r="X112" s="943"/>
      <c r="Y112" s="944"/>
      <c r="Z112" s="494"/>
      <c r="AA112" s="363"/>
      <c r="AB112" s="363"/>
      <c r="AC112" s="495"/>
      <c r="AD112" s="364"/>
      <c r="AE112" s="496"/>
      <c r="AF112" s="941"/>
      <c r="AG112" s="942"/>
      <c r="AH112" s="943"/>
      <c r="AI112" s="943"/>
      <c r="AJ112" s="943"/>
      <c r="AK112" s="944"/>
      <c r="AL112" s="494">
        <v>46228</v>
      </c>
      <c r="AM112" s="363" t="s">
        <v>527</v>
      </c>
      <c r="AN112" s="363"/>
      <c r="AO112" s="505"/>
      <c r="AP112" s="364">
        <v>7.8</v>
      </c>
      <c r="AQ112" s="496" t="s">
        <v>350</v>
      </c>
      <c r="AR112" s="370"/>
      <c r="AS112" s="367"/>
      <c r="AT112" s="426"/>
      <c r="AU112" s="426"/>
      <c r="AV112" s="943"/>
      <c r="AW112" s="944"/>
      <c r="AX112" s="494"/>
      <c r="AY112" s="363"/>
      <c r="AZ112" s="363"/>
      <c r="BA112" s="495"/>
      <c r="BB112" s="364"/>
      <c r="BC112" s="496"/>
      <c r="BD112" s="370"/>
      <c r="BE112" s="367"/>
      <c r="BF112" s="426"/>
      <c r="BG112" s="426"/>
      <c r="BH112" s="437"/>
      <c r="BI112" s="498"/>
      <c r="BJ112" s="494"/>
      <c r="BK112" s="363"/>
      <c r="BL112" s="363"/>
      <c r="BM112" s="495"/>
      <c r="BN112" s="364"/>
      <c r="BO112" s="496"/>
      <c r="BP112" s="370"/>
      <c r="BQ112" s="367"/>
      <c r="BR112" s="426"/>
      <c r="BS112" s="426"/>
      <c r="BT112" s="437"/>
      <c r="BU112" s="498"/>
    </row>
    <row r="113" spans="1:73" ht="12" customHeight="1" x14ac:dyDescent="0.2">
      <c r="A113" s="504"/>
      <c r="B113" s="494"/>
      <c r="C113" s="363"/>
      <c r="D113" s="363"/>
      <c r="E113" s="500"/>
      <c r="F113" s="495"/>
      <c r="G113" s="496"/>
      <c r="H113" s="941">
        <v>46064</v>
      </c>
      <c r="I113" s="942" t="s">
        <v>403</v>
      </c>
      <c r="J113" s="943"/>
      <c r="K113" s="943"/>
      <c r="L113" s="943">
        <v>39.200000000000003</v>
      </c>
      <c r="M113" s="944" t="s">
        <v>350</v>
      </c>
      <c r="N113" s="494"/>
      <c r="O113" s="363"/>
      <c r="P113" s="363"/>
      <c r="Q113" s="495"/>
      <c r="R113" s="364"/>
      <c r="S113" s="496"/>
      <c r="T113" s="941"/>
      <c r="U113" s="942"/>
      <c r="V113" s="943"/>
      <c r="W113" s="943"/>
      <c r="X113" s="943"/>
      <c r="Y113" s="944"/>
      <c r="Z113" s="494"/>
      <c r="AA113" s="363"/>
      <c r="AB113" s="363"/>
      <c r="AC113" s="495"/>
      <c r="AD113" s="364"/>
      <c r="AE113" s="496"/>
      <c r="AF113" s="941"/>
      <c r="AG113" s="942"/>
      <c r="AH113" s="943"/>
      <c r="AI113" s="506"/>
      <c r="AJ113" s="943"/>
      <c r="AK113" s="944"/>
      <c r="AL113" s="494">
        <v>46229</v>
      </c>
      <c r="AM113" s="363" t="s">
        <v>528</v>
      </c>
      <c r="AN113" s="363"/>
      <c r="AO113" s="505">
        <v>25.13</v>
      </c>
      <c r="AP113" s="364">
        <v>3</v>
      </c>
      <c r="AQ113" s="496" t="s">
        <v>350</v>
      </c>
      <c r="AR113" s="370"/>
      <c r="AS113" s="367"/>
      <c r="AT113" s="426"/>
      <c r="AU113" s="426"/>
      <c r="AV113" s="943"/>
      <c r="AW113" s="944"/>
      <c r="AX113" s="494"/>
      <c r="AY113" s="363"/>
      <c r="AZ113" s="363"/>
      <c r="BA113" s="495"/>
      <c r="BB113" s="364"/>
      <c r="BC113" s="496"/>
      <c r="BD113" s="370"/>
      <c r="BE113" s="367"/>
      <c r="BF113" s="426"/>
      <c r="BG113" s="426"/>
      <c r="BH113" s="437"/>
      <c r="BI113" s="498"/>
      <c r="BJ113" s="494"/>
      <c r="BK113" s="363"/>
      <c r="BL113" s="363"/>
      <c r="BM113" s="495"/>
      <c r="BN113" s="364"/>
      <c r="BO113" s="496"/>
      <c r="BP113" s="370"/>
      <c r="BQ113" s="367"/>
      <c r="BR113" s="426"/>
      <c r="BS113" s="426"/>
      <c r="BT113" s="437"/>
      <c r="BU113" s="498"/>
    </row>
    <row r="114" spans="1:73" ht="12" customHeight="1" x14ac:dyDescent="0.2">
      <c r="A114" s="504"/>
      <c r="B114" s="494"/>
      <c r="C114" s="363"/>
      <c r="D114" s="363"/>
      <c r="E114" s="500"/>
      <c r="F114" s="495"/>
      <c r="G114" s="496"/>
      <c r="H114" s="941">
        <v>46071</v>
      </c>
      <c r="I114" s="942" t="s">
        <v>367</v>
      </c>
      <c r="J114" s="943"/>
      <c r="K114" s="943"/>
      <c r="L114" s="943">
        <v>8.5299999999999994</v>
      </c>
      <c r="M114" s="944" t="s">
        <v>350</v>
      </c>
      <c r="N114" s="494"/>
      <c r="O114" s="363"/>
      <c r="P114" s="363"/>
      <c r="Q114" s="495"/>
      <c r="R114" s="364"/>
      <c r="S114" s="496"/>
      <c r="T114" s="941"/>
      <c r="U114" s="942"/>
      <c r="V114" s="943"/>
      <c r="W114" s="943"/>
      <c r="X114" s="943"/>
      <c r="Y114" s="944"/>
      <c r="Z114" s="494"/>
      <c r="AA114" s="363"/>
      <c r="AB114" s="363"/>
      <c r="AC114" s="495"/>
      <c r="AD114" s="364"/>
      <c r="AE114" s="496"/>
      <c r="AF114" s="941"/>
      <c r="AG114" s="942"/>
      <c r="AH114" s="943"/>
      <c r="AI114" s="506"/>
      <c r="AJ114" s="943"/>
      <c r="AK114" s="944"/>
      <c r="AL114" s="494">
        <v>46231</v>
      </c>
      <c r="AM114" s="363" t="s">
        <v>185</v>
      </c>
      <c r="AN114" s="363"/>
      <c r="AO114" s="505">
        <v>54.99</v>
      </c>
      <c r="AP114" s="364">
        <v>54.99</v>
      </c>
      <c r="AQ114" s="496" t="s">
        <v>350</v>
      </c>
      <c r="AR114" s="370"/>
      <c r="AS114" s="367"/>
      <c r="AT114" s="426"/>
      <c r="AU114" s="426"/>
      <c r="AV114" s="943"/>
      <c r="AW114" s="944"/>
      <c r="AX114" s="494"/>
      <c r="AY114" s="363"/>
      <c r="AZ114" s="363"/>
      <c r="BA114" s="495"/>
      <c r="BB114" s="364"/>
      <c r="BC114" s="496"/>
      <c r="BD114" s="370"/>
      <c r="BE114" s="367"/>
      <c r="BF114" s="426"/>
      <c r="BG114" s="426"/>
      <c r="BH114" s="437"/>
      <c r="BI114" s="498"/>
      <c r="BJ114" s="494"/>
      <c r="BK114" s="363"/>
      <c r="BL114" s="363"/>
      <c r="BM114" s="495"/>
      <c r="BN114" s="364"/>
      <c r="BO114" s="496"/>
      <c r="BP114" s="370"/>
      <c r="BQ114" s="367"/>
      <c r="BR114" s="426"/>
      <c r="BS114" s="426"/>
      <c r="BT114" s="437"/>
      <c r="BU114" s="498"/>
    </row>
    <row r="115" spans="1:73" ht="12" customHeight="1" x14ac:dyDescent="0.2">
      <c r="A115" s="504"/>
      <c r="B115" s="494"/>
      <c r="C115" s="363"/>
      <c r="D115" s="363"/>
      <c r="E115" s="500"/>
      <c r="F115" s="495"/>
      <c r="G115" s="496"/>
      <c r="H115" s="941">
        <v>46075</v>
      </c>
      <c r="I115" s="942" t="s">
        <v>401</v>
      </c>
      <c r="J115" s="943"/>
      <c r="K115" s="943"/>
      <c r="L115" s="943">
        <v>55</v>
      </c>
      <c r="M115" s="944" t="s">
        <v>350</v>
      </c>
      <c r="N115" s="494"/>
      <c r="O115" s="363"/>
      <c r="P115" s="363"/>
      <c r="Q115" s="495"/>
      <c r="R115" s="364"/>
      <c r="S115" s="496"/>
      <c r="T115" s="941"/>
      <c r="U115" s="942"/>
      <c r="V115" s="943"/>
      <c r="W115" s="943"/>
      <c r="X115" s="943"/>
      <c r="Y115" s="944"/>
      <c r="Z115" s="494"/>
      <c r="AA115" s="363"/>
      <c r="AB115" s="363"/>
      <c r="AC115" s="495"/>
      <c r="AD115" s="364"/>
      <c r="AE115" s="496"/>
      <c r="AF115" s="941"/>
      <c r="AG115" s="942"/>
      <c r="AH115" s="943"/>
      <c r="AI115" s="943"/>
      <c r="AJ115" s="943"/>
      <c r="AK115" s="944"/>
      <c r="AL115" s="494">
        <v>46233</v>
      </c>
      <c r="AM115" s="363" t="s">
        <v>373</v>
      </c>
      <c r="AN115" s="363"/>
      <c r="AO115" s="505">
        <v>31.9</v>
      </c>
      <c r="AP115" s="364">
        <v>31.9</v>
      </c>
      <c r="AQ115" s="496" t="s">
        <v>350</v>
      </c>
      <c r="AR115" s="370"/>
      <c r="AS115" s="367"/>
      <c r="AT115" s="426"/>
      <c r="AU115" s="426"/>
      <c r="AV115" s="943"/>
      <c r="AW115" s="944"/>
      <c r="AX115" s="494"/>
      <c r="AY115" s="363"/>
      <c r="AZ115" s="363"/>
      <c r="BA115" s="495"/>
      <c r="BB115" s="364"/>
      <c r="BC115" s="496"/>
      <c r="BD115" s="370"/>
      <c r="BE115" s="367"/>
      <c r="BF115" s="426"/>
      <c r="BG115" s="426"/>
      <c r="BH115" s="437"/>
      <c r="BI115" s="498"/>
      <c r="BJ115" s="494"/>
      <c r="BK115" s="363"/>
      <c r="BL115" s="363"/>
      <c r="BM115" s="495"/>
      <c r="BN115" s="364"/>
      <c r="BO115" s="496"/>
      <c r="BP115" s="370"/>
      <c r="BQ115" s="367"/>
      <c r="BR115" s="426"/>
      <c r="BS115" s="426"/>
      <c r="BT115" s="437"/>
      <c r="BU115" s="498"/>
    </row>
    <row r="116" spans="1:73" ht="12" customHeight="1" x14ac:dyDescent="0.2">
      <c r="A116" s="504"/>
      <c r="B116" s="494"/>
      <c r="C116" s="363"/>
      <c r="D116" s="363"/>
      <c r="E116" s="500"/>
      <c r="F116" s="495"/>
      <c r="G116" s="496"/>
      <c r="H116" s="941">
        <v>46081</v>
      </c>
      <c r="I116" s="942" t="s">
        <v>185</v>
      </c>
      <c r="J116" s="943"/>
      <c r="K116" s="943"/>
      <c r="L116" s="943">
        <v>62.16</v>
      </c>
      <c r="M116" s="944" t="s">
        <v>350</v>
      </c>
      <c r="N116" s="494"/>
      <c r="O116" s="363"/>
      <c r="P116" s="363"/>
      <c r="Q116" s="495"/>
      <c r="R116" s="364"/>
      <c r="S116" s="496"/>
      <c r="T116" s="941"/>
      <c r="U116" s="942"/>
      <c r="V116" s="943"/>
      <c r="W116" s="943"/>
      <c r="X116" s="943"/>
      <c r="Y116" s="944"/>
      <c r="Z116" s="494"/>
      <c r="AA116" s="363"/>
      <c r="AB116" s="363"/>
      <c r="AC116" s="495"/>
      <c r="AD116" s="364"/>
      <c r="AE116" s="496"/>
      <c r="AF116" s="941"/>
      <c r="AG116" s="942"/>
      <c r="AH116" s="943"/>
      <c r="AI116" s="943"/>
      <c r="AJ116" s="943"/>
      <c r="AK116" s="944"/>
      <c r="AL116" s="494"/>
      <c r="AM116" s="363"/>
      <c r="AN116" s="363"/>
      <c r="AO116" s="505"/>
      <c r="AP116" s="364"/>
      <c r="AQ116" s="496"/>
      <c r="AR116" s="370"/>
      <c r="AS116" s="367"/>
      <c r="AT116" s="426"/>
      <c r="AU116" s="426"/>
      <c r="AV116" s="943"/>
      <c r="AW116" s="944"/>
      <c r="AX116" s="494"/>
      <c r="AY116" s="363"/>
      <c r="AZ116" s="363"/>
      <c r="BA116" s="495"/>
      <c r="BB116" s="364"/>
      <c r="BC116" s="496"/>
      <c r="BD116" s="370"/>
      <c r="BE116" s="367"/>
      <c r="BF116" s="426"/>
      <c r="BG116" s="426"/>
      <c r="BH116" s="437"/>
      <c r="BI116" s="498"/>
      <c r="BJ116" s="494"/>
      <c r="BK116" s="363"/>
      <c r="BL116" s="363"/>
      <c r="BM116" s="495"/>
      <c r="BN116" s="364"/>
      <c r="BO116" s="496"/>
      <c r="BP116" s="370"/>
      <c r="BQ116" s="367"/>
      <c r="BR116" s="426"/>
      <c r="BS116" s="426"/>
      <c r="BT116" s="437"/>
      <c r="BU116" s="498"/>
    </row>
    <row r="117" spans="1:73" ht="12" customHeight="1" x14ac:dyDescent="0.2">
      <c r="A117" s="504"/>
      <c r="B117" s="494"/>
      <c r="C117" s="363"/>
      <c r="D117" s="363"/>
      <c r="E117" s="500"/>
      <c r="F117" s="495"/>
      <c r="G117" s="496"/>
      <c r="H117" s="941">
        <v>46081</v>
      </c>
      <c r="I117" s="942" t="s">
        <v>404</v>
      </c>
      <c r="J117" s="943"/>
      <c r="K117" s="943"/>
      <c r="L117" s="943">
        <v>30.77</v>
      </c>
      <c r="M117" s="944" t="s">
        <v>350</v>
      </c>
      <c r="N117" s="494"/>
      <c r="O117" s="363"/>
      <c r="P117" s="363"/>
      <c r="Q117" s="495"/>
      <c r="R117" s="364"/>
      <c r="S117" s="496"/>
      <c r="T117" s="941"/>
      <c r="U117" s="942"/>
      <c r="V117" s="943"/>
      <c r="W117" s="943"/>
      <c r="X117" s="943"/>
      <c r="Y117" s="944"/>
      <c r="Z117" s="501"/>
      <c r="AA117" s="502"/>
      <c r="AB117" s="502"/>
      <c r="AC117" s="503"/>
      <c r="AD117" s="364"/>
      <c r="AE117" s="496"/>
      <c r="AF117" s="941"/>
      <c r="AG117" s="942"/>
      <c r="AH117" s="943"/>
      <c r="AI117" s="943"/>
      <c r="AJ117" s="943"/>
      <c r="AK117" s="944"/>
      <c r="AL117" s="501"/>
      <c r="AM117" s="502"/>
      <c r="AN117" s="502"/>
      <c r="AO117" s="505"/>
      <c r="AP117" s="499"/>
      <c r="AQ117" s="496"/>
      <c r="AR117" s="370"/>
      <c r="AS117" s="367"/>
      <c r="AT117" s="426"/>
      <c r="AU117" s="426"/>
      <c r="AV117" s="943"/>
      <c r="AW117" s="944"/>
      <c r="AX117" s="501"/>
      <c r="AY117" s="502"/>
      <c r="AZ117" s="502"/>
      <c r="BA117" s="503"/>
      <c r="BB117" s="499"/>
      <c r="BC117" s="496"/>
      <c r="BD117" s="370"/>
      <c r="BE117" s="367"/>
      <c r="BF117" s="426"/>
      <c r="BG117" s="426"/>
      <c r="BH117" s="506"/>
      <c r="BI117" s="507"/>
      <c r="BJ117" s="501"/>
      <c r="BK117" s="502"/>
      <c r="BL117" s="502"/>
      <c r="BM117" s="503"/>
      <c r="BN117" s="499"/>
      <c r="BO117" s="496"/>
      <c r="BP117" s="370"/>
      <c r="BQ117" s="367"/>
      <c r="BR117" s="426"/>
      <c r="BS117" s="426"/>
      <c r="BT117" s="506"/>
      <c r="BU117" s="507"/>
    </row>
    <row r="118" spans="1:73" ht="12" customHeight="1" x14ac:dyDescent="0.2">
      <c r="A118" s="504"/>
      <c r="B118" s="494"/>
      <c r="C118" s="363"/>
      <c r="D118" s="363"/>
      <c r="E118" s="500"/>
      <c r="F118" s="495"/>
      <c r="G118" s="496"/>
      <c r="H118" s="941">
        <v>46081</v>
      </c>
      <c r="I118" s="942" t="s">
        <v>405</v>
      </c>
      <c r="J118" s="943"/>
      <c r="K118" s="506">
        <v>559.1</v>
      </c>
      <c r="L118" s="943">
        <v>86.27</v>
      </c>
      <c r="M118" s="944" t="s">
        <v>350</v>
      </c>
      <c r="N118" s="494"/>
      <c r="O118" s="363"/>
      <c r="P118" s="363"/>
      <c r="Q118" s="495"/>
      <c r="R118" s="364"/>
      <c r="S118" s="496"/>
      <c r="T118" s="941"/>
      <c r="U118" s="942"/>
      <c r="V118" s="943"/>
      <c r="W118" s="943"/>
      <c r="X118" s="943"/>
      <c r="Y118" s="944"/>
      <c r="Z118" s="494"/>
      <c r="AA118" s="363"/>
      <c r="AB118" s="363"/>
      <c r="AC118" s="495"/>
      <c r="AD118" s="364"/>
      <c r="AE118" s="496"/>
      <c r="AF118" s="941"/>
      <c r="AG118" s="942"/>
      <c r="AH118" s="943"/>
      <c r="AI118" s="943"/>
      <c r="AJ118" s="943"/>
      <c r="AK118" s="944"/>
      <c r="AL118" s="494"/>
      <c r="AM118" s="363"/>
      <c r="AN118" s="363"/>
      <c r="AO118" s="505"/>
      <c r="AP118" s="364"/>
      <c r="AQ118" s="496"/>
      <c r="AR118" s="370"/>
      <c r="AS118" s="367"/>
      <c r="AT118" s="426"/>
      <c r="AU118" s="426"/>
      <c r="AV118" s="943"/>
      <c r="AW118" s="944"/>
      <c r="AX118" s="494"/>
      <c r="AY118" s="363"/>
      <c r="AZ118" s="363"/>
      <c r="BA118" s="495"/>
      <c r="BB118" s="364"/>
      <c r="BC118" s="496"/>
      <c r="BD118" s="370"/>
      <c r="BE118" s="367"/>
      <c r="BF118" s="426"/>
      <c r="BG118" s="426"/>
      <c r="BH118" s="437"/>
      <c r="BI118" s="498"/>
      <c r="BJ118" s="494"/>
      <c r="BK118" s="363"/>
      <c r="BL118" s="363"/>
      <c r="BM118" s="495"/>
      <c r="BN118" s="364"/>
      <c r="BO118" s="496"/>
      <c r="BP118" s="370"/>
      <c r="BQ118" s="367"/>
      <c r="BR118" s="426"/>
      <c r="BS118" s="426"/>
      <c r="BT118" s="437"/>
      <c r="BU118" s="498"/>
    </row>
    <row r="119" spans="1:73" ht="12" customHeight="1" x14ac:dyDescent="0.2">
      <c r="D119" s="508"/>
      <c r="E119" s="506">
        <f>SUM(E81:E118)</f>
        <v>0</v>
      </c>
      <c r="F119" s="508"/>
      <c r="J119" s="508"/>
      <c r="K119" s="506">
        <f>SUM(K81:K118)</f>
        <v>1144.23</v>
      </c>
      <c r="L119" s="508"/>
      <c r="Q119" s="506">
        <f>SUM(Q81:Q117)</f>
        <v>733.59</v>
      </c>
      <c r="W119" s="506">
        <f>SUM(W81:W117)</f>
        <v>848.51</v>
      </c>
      <c r="AC119" s="506">
        <f>SUM(AC81:AC117)</f>
        <v>932.48</v>
      </c>
      <c r="AI119" s="506">
        <f>SUM(AI113:AI118)</f>
        <v>0</v>
      </c>
      <c r="AO119" s="506">
        <f>SUM(AO92:AO118)</f>
        <v>902.84999999999991</v>
      </c>
      <c r="AU119" s="506">
        <f>SUM(AU81:AU118)</f>
        <v>605.55999999999995</v>
      </c>
      <c r="AX119" s="358"/>
      <c r="BA119" s="506"/>
      <c r="BG119" s="506"/>
      <c r="BM119" s="506"/>
      <c r="BS119" s="506"/>
    </row>
    <row r="120" spans="1:73" ht="12" customHeight="1" x14ac:dyDescent="0.2">
      <c r="AX120" s="358"/>
    </row>
    <row r="121" spans="1:73" ht="12" customHeight="1" x14ac:dyDescent="0.2">
      <c r="AX121" s="358"/>
    </row>
    <row r="122" spans="1:73" ht="12" customHeight="1" x14ac:dyDescent="0.2">
      <c r="AX122" s="358"/>
    </row>
    <row r="123" spans="1:73" ht="12" customHeight="1" x14ac:dyDescent="0.2">
      <c r="AX123" s="358"/>
    </row>
    <row r="124" spans="1:73" ht="12" customHeight="1" x14ac:dyDescent="0.2">
      <c r="B124" s="494"/>
      <c r="C124" s="459" t="s">
        <v>180</v>
      </c>
      <c r="D124" s="363"/>
      <c r="E124" s="499">
        <f>SUMIF(C22:C50,C124,F22:F50)</f>
        <v>271.72000000000003</v>
      </c>
      <c r="F124" s="499"/>
      <c r="G124" s="509"/>
      <c r="H124" s="510"/>
      <c r="I124" s="436" t="s">
        <v>180</v>
      </c>
      <c r="J124" s="383"/>
      <c r="K124" s="511">
        <f>SUMIF(I22:I50,I124,L22:L50)</f>
        <v>585.13</v>
      </c>
      <c r="L124" s="511"/>
      <c r="M124" s="512"/>
      <c r="N124" s="494"/>
      <c r="O124" s="459" t="s">
        <v>180</v>
      </c>
      <c r="P124" s="363"/>
      <c r="Q124" s="499">
        <f>SUMIF(O22:O50,O124,R22:R50)</f>
        <v>1292.69</v>
      </c>
      <c r="R124" s="499"/>
      <c r="S124" s="509"/>
      <c r="T124" s="510"/>
      <c r="U124" s="436" t="s">
        <v>180</v>
      </c>
      <c r="V124" s="383"/>
      <c r="W124" s="511">
        <f>SUMIF(U22:U52,U124,X22:X52)</f>
        <v>877.5</v>
      </c>
      <c r="X124" s="511"/>
      <c r="Y124" s="512"/>
      <c r="Z124" s="494"/>
      <c r="AA124" s="459" t="s">
        <v>180</v>
      </c>
      <c r="AB124" s="363"/>
      <c r="AC124" s="499">
        <f>SUMIF(AA22:AA52,AA124,AD22:AD52)</f>
        <v>932.48</v>
      </c>
      <c r="AD124" s="499"/>
      <c r="AE124" s="509"/>
      <c r="AF124" s="510"/>
      <c r="AG124" s="436" t="s">
        <v>180</v>
      </c>
      <c r="AH124" s="383"/>
      <c r="AI124" s="511">
        <f>SUMIF(AG22:AG52,AG124,AJ22:AJ52)</f>
        <v>1038.44</v>
      </c>
      <c r="AJ124" s="511"/>
      <c r="AK124" s="512"/>
      <c r="AL124" s="494"/>
      <c r="AM124" s="459" t="s">
        <v>180</v>
      </c>
      <c r="AN124" s="363"/>
      <c r="AO124" s="499">
        <f>SUMIF(AM22:AM52,AM124,AP22:AP52)</f>
        <v>1012.6699999999998</v>
      </c>
      <c r="AP124" s="499"/>
      <c r="AQ124" s="509"/>
      <c r="AR124" s="510"/>
      <c r="AS124" s="436" t="s">
        <v>180</v>
      </c>
      <c r="AT124" s="383"/>
      <c r="AU124" s="511">
        <f>SUMIF(AS22:AS52,AS124,AV22:AV52)</f>
        <v>605.55999999999995</v>
      </c>
      <c r="AV124" s="511"/>
      <c r="AW124" s="512"/>
      <c r="AX124" s="494"/>
      <c r="AY124" s="459" t="s">
        <v>180</v>
      </c>
      <c r="AZ124" s="363"/>
      <c r="BA124" s="499">
        <f>SUMIF(AY22:AY52,AY124,BB22:BB52)</f>
        <v>0</v>
      </c>
      <c r="BB124" s="499"/>
      <c r="BC124" s="509"/>
      <c r="BD124" s="510"/>
      <c r="BE124" s="436" t="s">
        <v>180</v>
      </c>
      <c r="BF124" s="383"/>
      <c r="BG124" s="511">
        <f>SUMIF(BE22:BE52,BE124,BH22:BH52)</f>
        <v>0</v>
      </c>
      <c r="BH124" s="511"/>
      <c r="BI124" s="512"/>
      <c r="BJ124" s="494"/>
      <c r="BK124" s="459" t="s">
        <v>180</v>
      </c>
      <c r="BL124" s="363"/>
      <c r="BM124" s="499">
        <f>SUMIF(BK22:BK52,BK124,BN22:BN52)</f>
        <v>0</v>
      </c>
      <c r="BN124" s="499"/>
      <c r="BO124" s="509"/>
      <c r="BP124" s="510"/>
      <c r="BQ124" s="436" t="s">
        <v>180</v>
      </c>
      <c r="BR124" s="383"/>
      <c r="BS124" s="511">
        <f>SUMIF(BQ22:BQ52,BQ124,BT22:BT52)</f>
        <v>0</v>
      </c>
      <c r="BT124" s="511"/>
      <c r="BU124" s="512"/>
    </row>
    <row r="125" spans="1:73" ht="12" customHeight="1" x14ac:dyDescent="0.2">
      <c r="B125" s="494"/>
      <c r="C125" s="459" t="s">
        <v>184</v>
      </c>
      <c r="D125" s="363"/>
      <c r="E125" s="513">
        <f>SUMIF(C81:C117,"AMAZON",E81:E117)</f>
        <v>0</v>
      </c>
      <c r="F125" s="499"/>
      <c r="G125" s="509"/>
      <c r="H125" s="379"/>
      <c r="I125" s="436" t="s">
        <v>184</v>
      </c>
      <c r="J125" s="379"/>
      <c r="K125" s="514">
        <f>SUMIF(I81:I117,"AMAZON",K81:K117)</f>
        <v>0</v>
      </c>
      <c r="L125" s="379"/>
      <c r="M125" s="515"/>
      <c r="N125" s="494"/>
      <c r="O125" s="459" t="s">
        <v>184</v>
      </c>
      <c r="P125" s="363"/>
      <c r="Q125" s="513">
        <f>SUMIF(O81:O117,"AMAZON",Q81:Q117)</f>
        <v>167.48</v>
      </c>
      <c r="R125" s="499"/>
      <c r="S125" s="509"/>
      <c r="T125" s="379"/>
      <c r="U125" s="458" t="s">
        <v>184</v>
      </c>
      <c r="V125" s="379"/>
      <c r="W125" s="514">
        <f>SUMIF(U81:U117,"AMAZON",W81:W117)</f>
        <v>0</v>
      </c>
      <c r="X125" s="379"/>
      <c r="Y125" s="515"/>
      <c r="Z125" s="494"/>
      <c r="AA125" s="459" t="s">
        <v>184</v>
      </c>
      <c r="AB125" s="363"/>
      <c r="AC125" s="513">
        <f>SUMIF(AA81:AA117,"AMAZON",AC81:AC117)</f>
        <v>0</v>
      </c>
      <c r="AD125" s="499"/>
      <c r="AE125" s="509"/>
      <c r="AF125" s="379"/>
      <c r="AG125" s="458" t="s">
        <v>184</v>
      </c>
      <c r="AH125" s="379"/>
      <c r="AI125" s="516">
        <f>SUMIF(AG81:AG117,"AMAZON",AI81:AI117)</f>
        <v>0</v>
      </c>
      <c r="AJ125" s="379"/>
      <c r="AK125" s="515"/>
      <c r="AL125" s="494"/>
      <c r="AM125" s="459" t="s">
        <v>184</v>
      </c>
      <c r="AN125" s="363"/>
      <c r="AO125" s="499">
        <f>SUMIF(AM81:AM117,"AMAZON",AO81:AO117)</f>
        <v>182.79</v>
      </c>
      <c r="AP125" s="499"/>
      <c r="AQ125" s="509"/>
      <c r="AR125" s="379"/>
      <c r="AS125" s="458" t="s">
        <v>184</v>
      </c>
      <c r="AT125" s="379"/>
      <c r="AU125" s="516">
        <f>SUMIF(AS81:AS117,"AMAZON",AU81:AU117)</f>
        <v>0</v>
      </c>
      <c r="AV125" s="379"/>
      <c r="AW125" s="515"/>
      <c r="AX125" s="494"/>
      <c r="AY125" s="459" t="s">
        <v>184</v>
      </c>
      <c r="AZ125" s="363"/>
      <c r="BA125" s="499">
        <f>SUMIF(AY81:AY117,"AMAZON",BA81:BA117)</f>
        <v>0</v>
      </c>
      <c r="BB125" s="499"/>
      <c r="BC125" s="509"/>
      <c r="BD125" s="379"/>
      <c r="BE125" s="458" t="s">
        <v>184</v>
      </c>
      <c r="BF125" s="379"/>
      <c r="BG125" s="516">
        <f>SUMIF(BE81:BE117,"AMAZON",BG81:BG117)</f>
        <v>0</v>
      </c>
      <c r="BH125" s="379"/>
      <c r="BI125" s="515"/>
      <c r="BJ125" s="494"/>
      <c r="BK125" s="459" t="s">
        <v>184</v>
      </c>
      <c r="BL125" s="363"/>
      <c r="BM125" s="499">
        <f>SUMIF(BK81:BK117,"AMAZON",BM81:BM117)</f>
        <v>0</v>
      </c>
      <c r="BN125" s="499"/>
      <c r="BO125" s="509"/>
      <c r="BP125" s="379"/>
      <c r="BQ125" s="458" t="s">
        <v>184</v>
      </c>
      <c r="BR125" s="379"/>
      <c r="BS125" s="516">
        <f>SUMIF(BQ81:BQ117,"AMAZON",BS81:BS117)</f>
        <v>0</v>
      </c>
      <c r="BT125" s="379"/>
      <c r="BU125" s="515"/>
    </row>
    <row r="126" spans="1:73" ht="12" customHeight="1" x14ac:dyDescent="0.2">
      <c r="B126" s="494"/>
      <c r="C126" s="459" t="s">
        <v>188</v>
      </c>
      <c r="D126" s="363"/>
      <c r="E126" s="499">
        <f>E124-E125</f>
        <v>271.72000000000003</v>
      </c>
      <c r="F126" s="499"/>
      <c r="G126" s="509"/>
      <c r="H126" s="379"/>
      <c r="I126" s="517" t="s">
        <v>188</v>
      </c>
      <c r="J126" s="517"/>
      <c r="K126" s="518">
        <f>K124-K125</f>
        <v>585.13</v>
      </c>
      <c r="L126" s="379"/>
      <c r="M126" s="515"/>
      <c r="N126" s="494"/>
      <c r="O126" s="459" t="s">
        <v>188</v>
      </c>
      <c r="P126" s="363"/>
      <c r="Q126" s="499">
        <f>Q124-Q125</f>
        <v>1125.21</v>
      </c>
      <c r="R126" s="499"/>
      <c r="S126" s="509"/>
      <c r="T126" s="379"/>
      <c r="U126" s="458" t="s">
        <v>188</v>
      </c>
      <c r="V126" s="379"/>
      <c r="W126" s="516">
        <f>W124-W125</f>
        <v>877.5</v>
      </c>
      <c r="X126" s="379"/>
      <c r="Y126" s="515"/>
      <c r="Z126" s="494"/>
      <c r="AA126" s="459" t="s">
        <v>188</v>
      </c>
      <c r="AB126" s="363"/>
      <c r="AC126" s="499">
        <f>AC124-AC125</f>
        <v>932.48</v>
      </c>
      <c r="AD126" s="499"/>
      <c r="AE126" s="509"/>
      <c r="AF126" s="379"/>
      <c r="AG126" s="458"/>
      <c r="AH126" s="379"/>
      <c r="AI126" s="516"/>
      <c r="AJ126" s="379"/>
      <c r="AK126" s="515"/>
      <c r="AL126" s="494"/>
      <c r="AM126" s="459"/>
      <c r="AN126" s="363"/>
      <c r="AO126" s="499"/>
      <c r="AP126" s="499"/>
      <c r="AQ126" s="509"/>
      <c r="AR126" s="379"/>
      <c r="AS126" s="458"/>
      <c r="AT126" s="379"/>
      <c r="AU126" s="516"/>
      <c r="AV126" s="379"/>
      <c r="AW126" s="515"/>
      <c r="AX126" s="494"/>
      <c r="AY126" s="459"/>
      <c r="AZ126" s="363"/>
      <c r="BA126" s="499"/>
      <c r="BB126" s="499"/>
      <c r="BC126" s="509"/>
      <c r="BD126" s="379"/>
      <c r="BE126" s="458"/>
      <c r="BF126" s="379"/>
      <c r="BG126" s="516"/>
      <c r="BH126" s="379"/>
      <c r="BI126" s="515"/>
      <c r="BJ126" s="494"/>
      <c r="BK126" s="459"/>
      <c r="BL126" s="363"/>
      <c r="BM126" s="499"/>
      <c r="BN126" s="499"/>
      <c r="BO126" s="509"/>
      <c r="BP126" s="379"/>
      <c r="BQ126" s="458"/>
      <c r="BR126" s="379"/>
      <c r="BS126" s="516"/>
      <c r="BT126" s="379"/>
      <c r="BU126" s="515"/>
    </row>
    <row r="127" spans="1:73" ht="12" customHeight="1" x14ac:dyDescent="0.2">
      <c r="B127" s="494"/>
      <c r="C127" s="459" t="s">
        <v>179</v>
      </c>
      <c r="D127" s="363"/>
      <c r="E127" s="499">
        <f>SUMIF(C22:C52,"PAGO CAJERO",F22:F52)</f>
        <v>400</v>
      </c>
      <c r="F127" s="499"/>
      <c r="G127" s="509"/>
      <c r="H127" s="510"/>
      <c r="I127" s="436" t="s">
        <v>179</v>
      </c>
      <c r="J127" s="383"/>
      <c r="K127" s="511">
        <f>SUMIF(I22:I52,"PAGO CAJERO",L22:L52)</f>
        <v>640</v>
      </c>
      <c r="L127" s="511"/>
      <c r="M127" s="512"/>
      <c r="N127" s="494"/>
      <c r="O127" s="459" t="s">
        <v>179</v>
      </c>
      <c r="P127" s="363"/>
      <c r="Q127" s="499">
        <f>SUMIF(O22:O52,"PAGO CAJERO",R22:R52)</f>
        <v>770</v>
      </c>
      <c r="R127" s="499"/>
      <c r="S127" s="509"/>
      <c r="T127" s="510"/>
      <c r="U127" s="436" t="s">
        <v>179</v>
      </c>
      <c r="V127" s="383"/>
      <c r="W127" s="511">
        <f>SUMIF(U22:U52,"PAGO CAJERO",X22:X52)</f>
        <v>600</v>
      </c>
      <c r="X127" s="511"/>
      <c r="Y127" s="512"/>
      <c r="Z127" s="494"/>
      <c r="AA127" s="459" t="s">
        <v>179</v>
      </c>
      <c r="AB127" s="363"/>
      <c r="AC127" s="499">
        <f>SUMIF(AA22:AA52,"PAGO CAJERO",AD22:AD52)</f>
        <v>490</v>
      </c>
      <c r="AD127" s="499"/>
      <c r="AE127" s="509"/>
      <c r="AF127" s="510"/>
      <c r="AG127" s="436" t="s">
        <v>179</v>
      </c>
      <c r="AH127" s="383"/>
      <c r="AI127" s="511">
        <f>SUMIF(AG22:AG52,"PAGO CAJERO",AJ22:AJ52)</f>
        <v>550</v>
      </c>
      <c r="AJ127" s="511"/>
      <c r="AK127" s="512"/>
      <c r="AL127" s="494"/>
      <c r="AM127" s="459" t="s">
        <v>179</v>
      </c>
      <c r="AN127" s="363"/>
      <c r="AO127" s="499">
        <f>SUMIF(AM22:AM52,"PAGO CAJERO",AP22:AP52)</f>
        <v>230</v>
      </c>
      <c r="AP127" s="499"/>
      <c r="AQ127" s="509"/>
      <c r="AR127" s="510"/>
      <c r="AS127" s="436" t="s">
        <v>179</v>
      </c>
      <c r="AT127" s="383"/>
      <c r="AU127" s="511">
        <f>SUMIF(AS22:AS52,"PAGO CAJERO",AV22:AV52)</f>
        <v>820</v>
      </c>
      <c r="AV127" s="511"/>
      <c r="AW127" s="512"/>
      <c r="AX127" s="494"/>
      <c r="AY127" s="459" t="s">
        <v>179</v>
      </c>
      <c r="AZ127" s="363"/>
      <c r="BA127" s="499">
        <f>SUMIF(AY22:AY52,"PAGO CAJERO",BB22:BB52)</f>
        <v>0</v>
      </c>
      <c r="BB127" s="499"/>
      <c r="BC127" s="509"/>
      <c r="BD127" s="510"/>
      <c r="BE127" s="436" t="s">
        <v>179</v>
      </c>
      <c r="BF127" s="383"/>
      <c r="BG127" s="511">
        <f>SUMIF(BE22:BE52,"PAGO CAJERO",BH22:BH52)</f>
        <v>0</v>
      </c>
      <c r="BH127" s="511"/>
      <c r="BI127" s="512"/>
      <c r="BJ127" s="494"/>
      <c r="BK127" s="459" t="s">
        <v>179</v>
      </c>
      <c r="BL127" s="363"/>
      <c r="BM127" s="499">
        <f>SUMIF(BK22:BK52,"PAGO CAJERO",BN22:BN52)</f>
        <v>0</v>
      </c>
      <c r="BN127" s="499"/>
      <c r="BO127" s="509"/>
      <c r="BP127" s="510"/>
      <c r="BQ127" s="436" t="s">
        <v>179</v>
      </c>
      <c r="BR127" s="383"/>
      <c r="BS127" s="511">
        <f>SUMIF(BQ22:BQ52,"PAGO CAJERO",BT22:BT52)</f>
        <v>0</v>
      </c>
      <c r="BT127" s="511"/>
      <c r="BU127" s="512"/>
    </row>
    <row r="128" spans="1:73" ht="12" customHeight="1" x14ac:dyDescent="0.2">
      <c r="AX128" s="358"/>
    </row>
    <row r="129" spans="3:74" ht="12" customHeight="1" x14ac:dyDescent="0.2">
      <c r="C129" s="358" t="s">
        <v>189</v>
      </c>
      <c r="E129" s="519">
        <f>SUMIF(G:G,"N",F:F)-F58</f>
        <v>0</v>
      </c>
      <c r="I129" s="358" t="s">
        <v>189</v>
      </c>
      <c r="K129" s="519">
        <f>SUMIF(M:M,"N",L:L)</f>
        <v>192</v>
      </c>
      <c r="O129" s="358" t="s">
        <v>189</v>
      </c>
      <c r="Q129" s="519">
        <f>SUMIF(S:S,"N",R:R)</f>
        <v>140</v>
      </c>
      <c r="U129" s="358" t="s">
        <v>189</v>
      </c>
      <c r="W129" s="519">
        <f>SUMIF(Y:Y,"N",X:X)</f>
        <v>0</v>
      </c>
      <c r="AA129" s="358" t="s">
        <v>189</v>
      </c>
      <c r="AC129" s="519">
        <f>SUMIF(AE:AE,"N",AD:AD)</f>
        <v>185</v>
      </c>
      <c r="AG129" s="358" t="s">
        <v>189</v>
      </c>
      <c r="AI129" s="519">
        <f>SUMIF(AK:AK,"N",AJ:AJ)</f>
        <v>0</v>
      </c>
      <c r="AM129" s="358" t="s">
        <v>189</v>
      </c>
      <c r="AO129" s="519">
        <f>SUMIF(AQ:AQ,"N",AP:AP)</f>
        <v>127</v>
      </c>
      <c r="AS129" s="358" t="s">
        <v>189</v>
      </c>
      <c r="AU129" s="519">
        <f>SUMIF(AW:AW,"N",AV:AV)</f>
        <v>0</v>
      </c>
      <c r="AX129" s="358"/>
      <c r="AY129" s="358" t="s">
        <v>189</v>
      </c>
      <c r="BA129" s="519">
        <f>SUMIF(BC:BC,"N",BB:BB)</f>
        <v>500</v>
      </c>
      <c r="BE129" s="358" t="s">
        <v>189</v>
      </c>
      <c r="BG129" s="519">
        <f>SUMIF(BI:BI,"N",BH:BH)</f>
        <v>500</v>
      </c>
      <c r="BK129" s="358" t="s">
        <v>189</v>
      </c>
      <c r="BM129" s="519">
        <f>SUMIF(BO:BO,"N",BN:BN)</f>
        <v>500</v>
      </c>
      <c r="BQ129" s="358" t="s">
        <v>189</v>
      </c>
      <c r="BS129" s="519">
        <f>SUMIF(BU:BU,"N",BT:BT)</f>
        <v>500</v>
      </c>
      <c r="BV129" s="520">
        <f>BS129+BM129+BG129+BA129+AU129+AO129+AI129+AC129+W129+Q129+K129+E129</f>
        <v>2644</v>
      </c>
    </row>
    <row r="130" spans="3:74" ht="12" customHeight="1" x14ac:dyDescent="0.2">
      <c r="C130" s="358" t="s">
        <v>190</v>
      </c>
      <c r="E130" s="521">
        <f>SUMIF(G:G,"K",F:F)</f>
        <v>1169.8500000000001</v>
      </c>
      <c r="I130" s="358" t="s">
        <v>190</v>
      </c>
      <c r="K130" s="521">
        <f>SUMIF(M:M,"K",L:L)</f>
        <v>1918.47</v>
      </c>
      <c r="O130" s="358" t="s">
        <v>190</v>
      </c>
      <c r="Q130" s="521">
        <f>SUMIF(S:S,"K",R:R)</f>
        <v>1667.2200000000003</v>
      </c>
      <c r="U130" s="358" t="s">
        <v>190</v>
      </c>
      <c r="W130" s="521">
        <f>SUMIF(Y:Y,"K",X:X)</f>
        <v>1967.9399999999998</v>
      </c>
      <c r="AA130" s="358" t="s">
        <v>190</v>
      </c>
      <c r="AC130" s="521">
        <f>SUMIF(AE:AE,"K",AD:AD)</f>
        <v>2295.8500000000008</v>
      </c>
      <c r="AG130" s="358" t="s">
        <v>190</v>
      </c>
      <c r="AI130" s="521">
        <f>SUMIF(AK:AK,"K",AJ:AJ)</f>
        <v>1749.4699999999998</v>
      </c>
      <c r="AM130" s="358" t="s">
        <v>190</v>
      </c>
      <c r="AO130" s="521">
        <f>SUMIF(AQ:AQ,"K",AP:AP)</f>
        <v>2025.8700000000001</v>
      </c>
      <c r="AS130" s="358" t="s">
        <v>190</v>
      </c>
      <c r="AU130" s="521">
        <f>SUMIF(AW:AW,"K",AV:AV)</f>
        <v>1626.9100000000008</v>
      </c>
      <c r="AY130" s="358" t="s">
        <v>190</v>
      </c>
      <c r="BA130" s="521">
        <f>SUMIF(BC:BC,"K",BB:BB)</f>
        <v>0</v>
      </c>
      <c r="BE130" s="358" t="s">
        <v>190</v>
      </c>
      <c r="BG130" s="521">
        <f>SUMIF(BI:BI,"K",BH:BH)</f>
        <v>0</v>
      </c>
      <c r="BK130" s="358" t="s">
        <v>190</v>
      </c>
      <c r="BM130" s="521">
        <f>SUMIF(BO:BO,"K",BN:BN)</f>
        <v>0</v>
      </c>
      <c r="BQ130" s="358" t="s">
        <v>190</v>
      </c>
      <c r="BS130" s="521">
        <f>SUMIF(BU:BU,"K",BT:BT)</f>
        <v>0</v>
      </c>
      <c r="BV130" s="520">
        <f>BS130+BM130+BG130+BA130+AU130+AO130+AI130+AC130+W130+Q130+K130+E130</f>
        <v>14421.580000000002</v>
      </c>
    </row>
    <row r="131" spans="3:74" ht="12" customHeight="1" x14ac:dyDescent="0.2">
      <c r="C131" s="358" t="s">
        <v>191</v>
      </c>
      <c r="E131" s="522">
        <f>SUMIF(G:G,"S",F:F)</f>
        <v>345.24</v>
      </c>
      <c r="I131" s="358" t="s">
        <v>191</v>
      </c>
      <c r="K131" s="522">
        <f>SUMIF(M:M,"S",L:L)</f>
        <v>0</v>
      </c>
      <c r="O131" s="358" t="s">
        <v>191</v>
      </c>
      <c r="Q131" s="522">
        <f>SUMIF(S:S,"S",R:R)</f>
        <v>1606</v>
      </c>
      <c r="U131" s="358" t="s">
        <v>191</v>
      </c>
      <c r="W131" s="522">
        <f>SUMIF(Y:Y,"S",X:X)</f>
        <v>2700</v>
      </c>
      <c r="AA131" s="358" t="s">
        <v>191</v>
      </c>
      <c r="AC131" s="522">
        <f>SUMIF(AE:AE,"S",AD:AD)</f>
        <v>119.25</v>
      </c>
      <c r="AG131" s="358" t="s">
        <v>191</v>
      </c>
      <c r="AI131" s="522">
        <f>SUMIF(AK:AK,"S",AJ:AJ)</f>
        <v>1338.3</v>
      </c>
      <c r="AM131" s="358" t="s">
        <v>191</v>
      </c>
      <c r="AO131" s="522">
        <f>SUMIF(AQ:AQ,"S",AP:AP)</f>
        <v>1188.0899999999999</v>
      </c>
      <c r="AS131" s="358" t="s">
        <v>191</v>
      </c>
      <c r="AU131" s="522">
        <f>SUMIF(AW:AW,"S",AV:AV)</f>
        <v>0</v>
      </c>
      <c r="AY131" s="358" t="s">
        <v>191</v>
      </c>
      <c r="BA131" s="522">
        <f>SUMIF(BC:BC,"S",BB:BB)</f>
        <v>0</v>
      </c>
      <c r="BE131" s="358" t="s">
        <v>191</v>
      </c>
      <c r="BG131" s="522">
        <f>SUMIF(BI:BI,"S",BH:BH)</f>
        <v>0</v>
      </c>
      <c r="BK131" s="358" t="s">
        <v>191</v>
      </c>
      <c r="BM131" s="522">
        <f>SUMIF(BO:BO,"S",BN:BN)</f>
        <v>0</v>
      </c>
      <c r="BQ131" s="358" t="s">
        <v>191</v>
      </c>
      <c r="BS131" s="522">
        <f>SUMIF(BU:BU,"S",BT:BT)</f>
        <v>0</v>
      </c>
      <c r="BV131" s="520">
        <f>BS131+BM131+BG131+BA131+AU131+AO131+AI131+AC131+W131+Q131+K131+E131</f>
        <v>7296.8799999999992</v>
      </c>
    </row>
  </sheetData>
  <mergeCells count="39">
    <mergeCell ref="A1:A16"/>
    <mergeCell ref="B1:F1"/>
    <mergeCell ref="H1:L1"/>
    <mergeCell ref="N1:R1"/>
    <mergeCell ref="T1:X1"/>
    <mergeCell ref="Z1:AD1"/>
    <mergeCell ref="AF1:AJ1"/>
    <mergeCell ref="AL1:AP1"/>
    <mergeCell ref="AR1:AV1"/>
    <mergeCell ref="AX1:BB1"/>
    <mergeCell ref="BD1:BH1"/>
    <mergeCell ref="BJ1:BN1"/>
    <mergeCell ref="BP1:BT1"/>
    <mergeCell ref="A20:A52"/>
    <mergeCell ref="B20:F20"/>
    <mergeCell ref="H20:L20"/>
    <mergeCell ref="N20:R20"/>
    <mergeCell ref="T20:X20"/>
    <mergeCell ref="Z20:AD20"/>
    <mergeCell ref="AF20:AJ20"/>
    <mergeCell ref="AL20:AP20"/>
    <mergeCell ref="AR20:AV20"/>
    <mergeCell ref="AX20:BB20"/>
    <mergeCell ref="BD20:BH20"/>
    <mergeCell ref="BJ20:BN20"/>
    <mergeCell ref="BP20:BT20"/>
    <mergeCell ref="A56:A74"/>
    <mergeCell ref="B56:F56"/>
    <mergeCell ref="H56:L56"/>
    <mergeCell ref="N56:R56"/>
    <mergeCell ref="T56:X56"/>
    <mergeCell ref="BD56:BH56"/>
    <mergeCell ref="BJ56:BN56"/>
    <mergeCell ref="BP56:BT56"/>
    <mergeCell ref="Z56:AD56"/>
    <mergeCell ref="AF56:AJ56"/>
    <mergeCell ref="AL56:AP56"/>
    <mergeCell ref="AR56:AV56"/>
    <mergeCell ref="AX56:BB56"/>
  </mergeCells>
  <conditionalFormatting sqref="G78">
    <cfRule type="cellIs" dxfId="30" priority="36" operator="greaterThan">
      <formula>0</formula>
    </cfRule>
    <cfRule type="cellIs" dxfId="29" priority="37" operator="lessThan">
      <formula>0</formula>
    </cfRule>
  </conditionalFormatting>
  <conditionalFormatting sqref="M78">
    <cfRule type="cellIs" dxfId="28" priority="32" operator="greaterThan">
      <formula>0</formula>
    </cfRule>
    <cfRule type="cellIs" dxfId="27" priority="33" operator="lessThan">
      <formula>0</formula>
    </cfRule>
  </conditionalFormatting>
  <conditionalFormatting sqref="S78">
    <cfRule type="cellIs" dxfId="26" priority="9" operator="greaterThan">
      <formula>0</formula>
    </cfRule>
    <cfRule type="cellIs" dxfId="25" priority="10" operator="lessThan">
      <formula>0</formula>
    </cfRule>
  </conditionalFormatting>
  <conditionalFormatting sqref="Y78">
    <cfRule type="cellIs" dxfId="24" priority="34" operator="greaterThan">
      <formula>0</formula>
    </cfRule>
    <cfRule type="cellIs" dxfId="23" priority="35" operator="lessThan">
      <formula>0</formula>
    </cfRule>
  </conditionalFormatting>
  <conditionalFormatting sqref="AE78">
    <cfRule type="cellIs" dxfId="22" priority="7" operator="greaterThan">
      <formula>0</formula>
    </cfRule>
    <cfRule type="cellIs" dxfId="21" priority="8" operator="lessThan">
      <formula>0</formula>
    </cfRule>
  </conditionalFormatting>
  <conditionalFormatting sqref="AK78">
    <cfRule type="cellIs" dxfId="20" priority="17" operator="greaterThan">
      <formula>0</formula>
    </cfRule>
    <cfRule type="cellIs" dxfId="19" priority="18" operator="lessThan">
      <formula>0</formula>
    </cfRule>
  </conditionalFormatting>
  <conditionalFormatting sqref="AQ78">
    <cfRule type="cellIs" dxfId="18" priority="5" operator="greaterThan">
      <formula>0</formula>
    </cfRule>
    <cfRule type="cellIs" dxfId="17" priority="6" operator="lessThan">
      <formula>0</formula>
    </cfRule>
  </conditionalFormatting>
  <conditionalFormatting sqref="AW78">
    <cfRule type="cellIs" dxfId="16" priority="15" operator="greaterThan">
      <formula>0</formula>
    </cfRule>
    <cfRule type="cellIs" dxfId="15" priority="16" operator="lessThan">
      <formula>0</formula>
    </cfRule>
  </conditionalFormatting>
  <conditionalFormatting sqref="BC78">
    <cfRule type="cellIs" dxfId="14" priority="3" operator="greaterThan">
      <formula>0</formula>
    </cfRule>
    <cfRule type="cellIs" dxfId="13" priority="4" operator="lessThan">
      <formula>0</formula>
    </cfRule>
  </conditionalFormatting>
  <conditionalFormatting sqref="BI78">
    <cfRule type="cellIs" dxfId="12" priority="13" operator="greaterThan">
      <formula>0</formula>
    </cfRule>
    <cfRule type="cellIs" dxfId="11" priority="14" operator="lessThan">
      <formula>0</formula>
    </cfRule>
  </conditionalFormatting>
  <conditionalFormatting sqref="BO78">
    <cfRule type="cellIs" dxfId="10" priority="1" operator="greaterThan">
      <formula>0</formula>
    </cfRule>
    <cfRule type="cellIs" dxfId="9" priority="2" operator="lessThan">
      <formula>0</formula>
    </cfRule>
  </conditionalFormatting>
  <conditionalFormatting sqref="BU78">
    <cfRule type="cellIs" dxfId="8" priority="11" operator="greaterThan">
      <formula>0</formula>
    </cfRule>
    <cfRule type="cellIs" dxfId="7" priority="12" operator="lessThan">
      <formula>0</formula>
    </cfRule>
  </conditionalFormatting>
  <pageMargins left="0.7" right="0.7" top="0.75" bottom="0.75" header="0.511811023622047" footer="0.511811023622047"/>
  <pageSetup paperSize="8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27"/>
  <sheetViews>
    <sheetView zoomScaleNormal="100" workbookViewId="0">
      <selection activeCell="K7" sqref="K7"/>
    </sheetView>
  </sheetViews>
  <sheetFormatPr baseColWidth="10" defaultColWidth="11.42578125" defaultRowHeight="15" x14ac:dyDescent="0.25"/>
  <cols>
    <col min="1" max="1" width="37.7109375" style="523" customWidth="1"/>
    <col min="2" max="2" width="11.42578125" style="523"/>
    <col min="3" max="3" width="14.140625" style="523" customWidth="1"/>
    <col min="4" max="4" width="11.7109375" style="523" customWidth="1"/>
    <col min="5" max="5" width="9.7109375" style="523" customWidth="1"/>
    <col min="6" max="6" width="12" style="523" customWidth="1"/>
    <col min="7" max="7" width="2.140625" style="523" customWidth="1"/>
    <col min="8" max="22" width="13.5703125" style="523" customWidth="1"/>
    <col min="23" max="16384" width="11.42578125" style="523"/>
  </cols>
  <sheetData>
    <row r="1" spans="1:22" x14ac:dyDescent="0.25">
      <c r="H1" s="524">
        <v>2025</v>
      </c>
      <c r="I1" s="524">
        <v>2026</v>
      </c>
      <c r="J1" s="525">
        <v>2027</v>
      </c>
      <c r="K1" s="525"/>
      <c r="L1" s="525"/>
      <c r="M1" s="525"/>
    </row>
    <row r="2" spans="1:22" ht="15" customHeight="1" x14ac:dyDescent="0.25">
      <c r="H2" s="1133" t="s">
        <v>509</v>
      </c>
      <c r="I2" s="1133"/>
      <c r="J2" s="1133"/>
      <c r="K2" s="1134" t="s">
        <v>510</v>
      </c>
      <c r="L2" s="1134"/>
      <c r="M2" s="1134"/>
      <c r="N2" s="1134" t="s">
        <v>192</v>
      </c>
      <c r="O2" s="1134"/>
      <c r="P2" s="1134"/>
      <c r="Q2" s="1134" t="s">
        <v>193</v>
      </c>
      <c r="R2" s="1134"/>
      <c r="S2" s="1134"/>
      <c r="T2" s="1134" t="s">
        <v>194</v>
      </c>
      <c r="U2" s="1134"/>
      <c r="V2" s="1134"/>
    </row>
    <row r="3" spans="1:22" x14ac:dyDescent="0.25">
      <c r="H3" s="1133"/>
      <c r="I3" s="1133"/>
      <c r="J3" s="1133"/>
      <c r="K3" s="1134"/>
      <c r="L3" s="1134"/>
      <c r="M3" s="1134"/>
      <c r="N3" s="1134"/>
      <c r="O3" s="1134"/>
      <c r="P3" s="1134"/>
      <c r="Q3" s="1134"/>
      <c r="R3" s="1134"/>
      <c r="S3" s="1134"/>
      <c r="T3" s="1134"/>
      <c r="U3" s="1134"/>
      <c r="V3" s="1134"/>
    </row>
    <row r="4" spans="1:22" x14ac:dyDescent="0.25">
      <c r="H4" s="1133"/>
      <c r="I4" s="1133"/>
      <c r="J4" s="1133"/>
      <c r="K4" s="1134"/>
      <c r="L4" s="1134"/>
      <c r="M4" s="1134"/>
      <c r="N4" s="1134"/>
      <c r="O4" s="1134"/>
      <c r="P4" s="1134"/>
      <c r="Q4" s="1134"/>
      <c r="R4" s="1134"/>
      <c r="S4" s="1134"/>
      <c r="T4" s="1134"/>
      <c r="U4" s="1134"/>
      <c r="V4" s="1134"/>
    </row>
    <row r="5" spans="1:22" x14ac:dyDescent="0.25">
      <c r="H5" s="1133"/>
      <c r="I5" s="1133"/>
      <c r="J5" s="1133"/>
      <c r="K5" s="1134"/>
      <c r="L5" s="1134"/>
      <c r="M5" s="1134"/>
      <c r="N5" s="1134"/>
      <c r="O5" s="1134"/>
      <c r="P5" s="1134"/>
      <c r="Q5" s="1134"/>
      <c r="R5" s="1134"/>
      <c r="S5" s="1134"/>
      <c r="T5" s="1134"/>
      <c r="U5" s="1134"/>
      <c r="V5" s="1134"/>
    </row>
    <row r="6" spans="1:22" x14ac:dyDescent="0.25">
      <c r="G6" s="526"/>
      <c r="H6" s="1133"/>
      <c r="I6" s="1133"/>
      <c r="J6" s="1133"/>
      <c r="K6" s="1134"/>
      <c r="L6" s="1134"/>
      <c r="M6" s="1134"/>
      <c r="N6" s="1134"/>
      <c r="O6" s="1134"/>
      <c r="P6" s="1134"/>
      <c r="Q6" s="1134"/>
      <c r="R6" s="1134"/>
      <c r="S6" s="1134"/>
      <c r="T6" s="1134"/>
      <c r="U6" s="1134"/>
      <c r="V6" s="1134"/>
    </row>
    <row r="7" spans="1:22" x14ac:dyDescent="0.25">
      <c r="A7" s="527" t="s">
        <v>52</v>
      </c>
      <c r="B7" s="528"/>
      <c r="C7" s="528"/>
      <c r="D7" s="529">
        <v>2300</v>
      </c>
      <c r="E7" s="528" t="s">
        <v>195</v>
      </c>
      <c r="F7" s="529">
        <f t="shared" ref="F7:F12" si="0">IF($E7="MENSUAL",$D7,IF($E7="TRIMESTRAL",$D7/3,IF($E7="SEMESTRAL",$D7/2,IF($E7="ANUAL",$D7/12,IF($E7="BIMENSUAL",$D7/2)))))</f>
        <v>2300</v>
      </c>
      <c r="G7" s="526"/>
      <c r="H7" s="530"/>
      <c r="I7" s="531">
        <f>IF($E7="MENSUAL",$D7,IF($E7="TRIMESTRAL",$D7/3,IF($E7="SEMESTRAL",$D7/2,IF($E7="ANUAL",$D7/12,IF($E7="BIMENSUAL",$D7/2)))))</f>
        <v>2300</v>
      </c>
      <c r="J7" s="532"/>
      <c r="K7" s="530"/>
      <c r="L7" s="531">
        <f t="shared" ref="L7:L12" si="1">IF($E7="MENSUAL",$D7,IF($E7="TRIMESTRAL",$D7/3,IF($E7="SEMESTRAL",$D7/2,IF($E7="ANUAL",$D7/12,IF($E7="BIMENSUAL",$D7/2)))))</f>
        <v>2300</v>
      </c>
      <c r="M7" s="532"/>
      <c r="N7" s="530"/>
      <c r="O7" s="531">
        <f t="shared" ref="O7:O12" si="2">IF($E7="MENSUAL",$D7,IF($E7="TRIMESTRAL",$D7/3,IF($E7="SEMESTRAL",$D7/2,IF($E7="ANUAL",$D7/12,IF($E7="BIMENSUAL",$D7/2)))))</f>
        <v>2300</v>
      </c>
      <c r="P7" s="532"/>
      <c r="Q7" s="530"/>
      <c r="R7" s="531">
        <f t="shared" ref="R7:R12" si="3">IF($E7="MENSUAL",$D7,IF($E7="TRIMESTRAL",$D7/3,IF($E7="SEMESTRAL",$D7/2,IF($E7="ANUAL",$D7/12,IF($E7="BIMENSUAL",$D7/2)))))</f>
        <v>2300</v>
      </c>
      <c r="S7" s="532"/>
      <c r="T7" s="530"/>
      <c r="U7" s="531">
        <f t="shared" ref="U7:U12" si="4">IF($E7="MENSUAL",$D7,IF($E7="TRIMESTRAL",$D7/3,IF($E7="SEMESTRAL",$D7/2,IF($E7="ANUAL",$D7/12,IF($E7="BIMENSUAL",$D7/2)))))</f>
        <v>2300</v>
      </c>
      <c r="V7" s="532"/>
    </row>
    <row r="8" spans="1:22" x14ac:dyDescent="0.25">
      <c r="A8" s="527" t="s">
        <v>196</v>
      </c>
      <c r="B8" s="528"/>
      <c r="C8" s="528"/>
      <c r="D8" s="529">
        <v>1900</v>
      </c>
      <c r="E8" s="528" t="s">
        <v>197</v>
      </c>
      <c r="F8" s="529">
        <f t="shared" si="0"/>
        <v>158.33333333333334</v>
      </c>
      <c r="H8" s="533"/>
      <c r="I8" s="529">
        <f t="shared" ref="I8:I12" si="5">IF($E8="MENSUAL",$D8,IF($E8="TRIMESTRAL",$D8/3,IF($E8="SEMESTRAL",$D8/2,IF($E8="ANUAL",$D8/12,IF($E8="BIMENSUAL",$D8/2)))))</f>
        <v>158.33333333333334</v>
      </c>
      <c r="J8" s="534"/>
      <c r="K8" s="533"/>
      <c r="L8" s="529">
        <f t="shared" si="1"/>
        <v>158.33333333333334</v>
      </c>
      <c r="M8" s="534"/>
      <c r="N8" s="533"/>
      <c r="O8" s="529">
        <f t="shared" si="2"/>
        <v>158.33333333333334</v>
      </c>
      <c r="P8" s="534"/>
      <c r="Q8" s="533"/>
      <c r="R8" s="529">
        <f t="shared" si="3"/>
        <v>158.33333333333334</v>
      </c>
      <c r="S8" s="534"/>
      <c r="T8" s="533"/>
      <c r="U8" s="529">
        <f t="shared" si="4"/>
        <v>158.33333333333334</v>
      </c>
      <c r="V8" s="534"/>
    </row>
    <row r="9" spans="1:22" x14ac:dyDescent="0.25">
      <c r="A9" s="527" t="s">
        <v>198</v>
      </c>
      <c r="B9" s="528"/>
      <c r="C9" s="528"/>
      <c r="D9" s="529">
        <v>1900</v>
      </c>
      <c r="E9" s="528" t="s">
        <v>197</v>
      </c>
      <c r="F9" s="529">
        <f t="shared" si="0"/>
        <v>158.33333333333334</v>
      </c>
      <c r="H9" s="533"/>
      <c r="I9" s="529">
        <f t="shared" si="5"/>
        <v>158.33333333333334</v>
      </c>
      <c r="J9" s="534"/>
      <c r="K9" s="533"/>
      <c r="L9" s="529">
        <f t="shared" si="1"/>
        <v>158.33333333333334</v>
      </c>
      <c r="M9" s="534"/>
      <c r="N9" s="533"/>
      <c r="O9" s="529">
        <f t="shared" si="2"/>
        <v>158.33333333333334</v>
      </c>
      <c r="P9" s="534"/>
      <c r="Q9" s="533"/>
      <c r="R9" s="529">
        <f t="shared" si="3"/>
        <v>158.33333333333334</v>
      </c>
      <c r="S9" s="534"/>
      <c r="T9" s="533"/>
      <c r="U9" s="529">
        <f t="shared" si="4"/>
        <v>158.33333333333334</v>
      </c>
      <c r="V9" s="534"/>
    </row>
    <row r="10" spans="1:22" x14ac:dyDescent="0.25">
      <c r="A10" s="527" t="s">
        <v>199</v>
      </c>
      <c r="B10" s="528"/>
      <c r="C10" s="528"/>
      <c r="D10" s="529">
        <v>2350</v>
      </c>
      <c r="E10" s="528" t="s">
        <v>195</v>
      </c>
      <c r="F10" s="529">
        <f t="shared" si="0"/>
        <v>2350</v>
      </c>
      <c r="H10" s="533"/>
      <c r="I10" s="529">
        <f t="shared" si="5"/>
        <v>2350</v>
      </c>
      <c r="J10" s="534"/>
      <c r="K10" s="533"/>
      <c r="L10" s="529">
        <f t="shared" si="1"/>
        <v>2350</v>
      </c>
      <c r="M10" s="534"/>
      <c r="N10" s="533"/>
      <c r="O10" s="529">
        <f t="shared" si="2"/>
        <v>2350</v>
      </c>
      <c r="P10" s="534"/>
      <c r="Q10" s="533"/>
      <c r="R10" s="529">
        <f t="shared" si="3"/>
        <v>2350</v>
      </c>
      <c r="S10" s="534"/>
      <c r="T10" s="533"/>
      <c r="U10" s="529">
        <f t="shared" si="4"/>
        <v>2350</v>
      </c>
      <c r="V10" s="534"/>
    </row>
    <row r="11" spans="1:22" x14ac:dyDescent="0.25">
      <c r="A11" s="527" t="s">
        <v>10</v>
      </c>
      <c r="B11" s="528"/>
      <c r="C11" s="528"/>
      <c r="D11" s="529">
        <v>4000</v>
      </c>
      <c r="E11" s="528" t="s">
        <v>197</v>
      </c>
      <c r="F11" s="529">
        <f t="shared" si="0"/>
        <v>333.33333333333331</v>
      </c>
      <c r="H11" s="533"/>
      <c r="I11" s="529">
        <f t="shared" si="5"/>
        <v>333.33333333333331</v>
      </c>
      <c r="K11" s="533"/>
      <c r="L11" s="529">
        <f t="shared" si="1"/>
        <v>333.33333333333331</v>
      </c>
      <c r="N11" s="533"/>
      <c r="O11" s="529">
        <f t="shared" si="2"/>
        <v>333.33333333333331</v>
      </c>
      <c r="Q11" s="533"/>
      <c r="R11" s="529">
        <f t="shared" si="3"/>
        <v>333.33333333333331</v>
      </c>
      <c r="S11" s="534"/>
      <c r="T11" s="533"/>
      <c r="U11" s="529">
        <f t="shared" si="4"/>
        <v>333.33333333333331</v>
      </c>
      <c r="V11" s="534"/>
    </row>
    <row r="12" spans="1:22" x14ac:dyDescent="0.25">
      <c r="A12" s="527" t="s">
        <v>58</v>
      </c>
      <c r="B12" s="528"/>
      <c r="C12" s="528"/>
      <c r="D12" s="529">
        <v>0</v>
      </c>
      <c r="E12" s="528" t="s">
        <v>197</v>
      </c>
      <c r="F12" s="529">
        <f t="shared" si="0"/>
        <v>0</v>
      </c>
      <c r="H12" s="533"/>
      <c r="I12" s="529">
        <f t="shared" si="5"/>
        <v>0</v>
      </c>
      <c r="K12" s="533"/>
      <c r="L12" s="529">
        <f t="shared" si="1"/>
        <v>0</v>
      </c>
      <c r="N12" s="533"/>
      <c r="O12" s="529">
        <f t="shared" si="2"/>
        <v>0</v>
      </c>
      <c r="Q12" s="533"/>
      <c r="R12" s="529">
        <f t="shared" si="3"/>
        <v>0</v>
      </c>
      <c r="S12" s="534"/>
      <c r="T12" s="533"/>
      <c r="U12" s="529">
        <f t="shared" si="4"/>
        <v>0</v>
      </c>
      <c r="V12" s="534"/>
    </row>
    <row r="13" spans="1:22" x14ac:dyDescent="0.25">
      <c r="F13" s="535">
        <f>SUM(F7:F12)</f>
        <v>5300</v>
      </c>
      <c r="H13" s="533"/>
      <c r="I13" s="535">
        <f>SUM(I7:I12)</f>
        <v>5300</v>
      </c>
      <c r="J13" s="535">
        <f>I13*12</f>
        <v>63600</v>
      </c>
      <c r="K13" s="533"/>
      <c r="L13" s="535">
        <f>SUM(L7:L12)</f>
        <v>5300</v>
      </c>
      <c r="M13" s="535">
        <f>L13*12</f>
        <v>63600</v>
      </c>
      <c r="N13" s="533"/>
      <c r="O13" s="535">
        <f>SUM(O7:O12)</f>
        <v>5300</v>
      </c>
      <c r="P13" s="535">
        <f>O13*12</f>
        <v>63600</v>
      </c>
      <c r="Q13" s="533"/>
      <c r="R13" s="535">
        <f>SUM(R7:R12)</f>
        <v>5300</v>
      </c>
      <c r="S13" s="536">
        <f>R13*12</f>
        <v>63600</v>
      </c>
      <c r="T13" s="533"/>
      <c r="U13" s="535">
        <f>SUM(U7:U12)</f>
        <v>5300</v>
      </c>
      <c r="V13" s="536">
        <f>U13*12</f>
        <v>63600</v>
      </c>
    </row>
    <row r="14" spans="1:22" x14ac:dyDescent="0.25">
      <c r="H14" s="533"/>
      <c r="J14" s="534"/>
      <c r="K14" s="533"/>
      <c r="N14" s="533"/>
      <c r="P14" s="534"/>
      <c r="Q14" s="533"/>
      <c r="S14" s="534"/>
      <c r="T14" s="533"/>
      <c r="V14" s="534"/>
    </row>
    <row r="15" spans="1:22" x14ac:dyDescent="0.25">
      <c r="C15" s="537" t="s">
        <v>66</v>
      </c>
      <c r="G15" s="538"/>
      <c r="H15" s="533"/>
      <c r="I15" s="529">
        <f t="shared" ref="I15:I34" si="6">SUMIF($C$41:$C$126,$C15,$I$41:$I$126)</f>
        <v>1400</v>
      </c>
      <c r="J15" s="539">
        <f>-(F15-I15)</f>
        <v>1400</v>
      </c>
      <c r="K15" s="533"/>
      <c r="L15" s="529">
        <f>SUMIF($C$41:$C$126,$C15,$L$41:$L$126)</f>
        <v>1400</v>
      </c>
      <c r="M15" s="539">
        <f t="shared" ref="M15:M34" si="7">-(I15-L15)</f>
        <v>0</v>
      </c>
      <c r="N15" s="533"/>
      <c r="O15" s="529">
        <f>SUMIF($C$41:$C$126,$C15,$O$41:$O$126)</f>
        <v>1400</v>
      </c>
      <c r="P15" s="539">
        <f t="shared" ref="P15:P34" si="8">-(I15-O15)</f>
        <v>0</v>
      </c>
      <c r="Q15" s="533"/>
      <c r="R15" s="529">
        <f t="shared" ref="R15:R34" si="9">SUMIF($C$41:$C$126,$C15,$R$41:$R$126)</f>
        <v>1400</v>
      </c>
      <c r="S15" s="539">
        <f t="shared" ref="S15:S34" si="10">-(I15-R15)</f>
        <v>0</v>
      </c>
      <c r="T15" s="533"/>
      <c r="U15" s="529">
        <f t="shared" ref="U15:U34" si="11">SUMIF($C$41:$C$126,$C15,$U$41:$U$126)</f>
        <v>1400</v>
      </c>
      <c r="V15" s="539">
        <f t="shared" ref="V15:V34" si="12">-(I15-U15)</f>
        <v>0</v>
      </c>
    </row>
    <row r="16" spans="1:22" x14ac:dyDescent="0.25">
      <c r="C16" s="537" t="s">
        <v>67</v>
      </c>
      <c r="G16" s="538"/>
      <c r="H16" s="533"/>
      <c r="I16" s="529">
        <f t="shared" si="6"/>
        <v>810</v>
      </c>
      <c r="J16" s="539">
        <f t="shared" ref="J16:J34" si="13">-(F16-I16)</f>
        <v>810</v>
      </c>
      <c r="K16" s="533"/>
      <c r="L16" s="529">
        <f t="shared" ref="L16:L34" si="14">SUMIF($C$41:$C$126,$C16,$L$41:$L$126)</f>
        <v>810</v>
      </c>
      <c r="M16" s="539">
        <f t="shared" si="7"/>
        <v>0</v>
      </c>
      <c r="N16" s="533"/>
      <c r="O16" s="529">
        <f t="shared" ref="O16:O34" si="15">SUMIF($C$41:$C$126,$C16,$O$41:$O$126)</f>
        <v>0</v>
      </c>
      <c r="P16" s="539">
        <f t="shared" si="8"/>
        <v>-810</v>
      </c>
      <c r="Q16" s="533"/>
      <c r="R16" s="529">
        <f t="shared" si="9"/>
        <v>810</v>
      </c>
      <c r="S16" s="539">
        <f t="shared" si="10"/>
        <v>0</v>
      </c>
      <c r="T16" s="533"/>
      <c r="U16" s="529">
        <f t="shared" si="11"/>
        <v>810</v>
      </c>
      <c r="V16" s="539">
        <f t="shared" si="12"/>
        <v>0</v>
      </c>
    </row>
    <row r="17" spans="3:22" x14ac:dyDescent="0.25">
      <c r="C17" s="537" t="s">
        <v>200</v>
      </c>
      <c r="G17" s="538"/>
      <c r="H17" s="533"/>
      <c r="I17" s="529">
        <f t="shared" si="6"/>
        <v>0</v>
      </c>
      <c r="J17" s="539">
        <f t="shared" si="13"/>
        <v>0</v>
      </c>
      <c r="K17" s="1022"/>
      <c r="L17" s="529">
        <f t="shared" si="14"/>
        <v>0</v>
      </c>
      <c r="M17" s="539">
        <f t="shared" si="7"/>
        <v>0</v>
      </c>
      <c r="N17" s="533"/>
      <c r="O17" s="529">
        <f t="shared" si="15"/>
        <v>0</v>
      </c>
      <c r="P17" s="539">
        <f t="shared" si="8"/>
        <v>0</v>
      </c>
      <c r="Q17" s="533"/>
      <c r="R17" s="529">
        <f t="shared" si="9"/>
        <v>0</v>
      </c>
      <c r="S17" s="539">
        <f t="shared" si="10"/>
        <v>0</v>
      </c>
      <c r="T17" s="533"/>
      <c r="U17" s="529">
        <f t="shared" si="11"/>
        <v>0</v>
      </c>
      <c r="V17" s="539">
        <f t="shared" si="12"/>
        <v>0</v>
      </c>
    </row>
    <row r="18" spans="3:22" x14ac:dyDescent="0.25">
      <c r="C18" s="537" t="s">
        <v>159</v>
      </c>
      <c r="G18" s="538"/>
      <c r="H18" s="533"/>
      <c r="I18" s="529">
        <f t="shared" si="6"/>
        <v>500</v>
      </c>
      <c r="J18" s="539">
        <f t="shared" si="13"/>
        <v>500</v>
      </c>
      <c r="K18" s="1022"/>
      <c r="L18" s="529">
        <f t="shared" si="14"/>
        <v>500</v>
      </c>
      <c r="M18" s="539">
        <f t="shared" si="7"/>
        <v>0</v>
      </c>
      <c r="N18" s="533"/>
      <c r="O18" s="529">
        <f t="shared" si="15"/>
        <v>0</v>
      </c>
      <c r="P18" s="539">
        <f t="shared" si="8"/>
        <v>-500</v>
      </c>
      <c r="Q18" s="533"/>
      <c r="R18" s="529">
        <f t="shared" si="9"/>
        <v>0</v>
      </c>
      <c r="S18" s="539">
        <f t="shared" si="10"/>
        <v>-500</v>
      </c>
      <c r="T18" s="533"/>
      <c r="U18" s="529">
        <f t="shared" si="11"/>
        <v>0</v>
      </c>
      <c r="V18" s="539">
        <f t="shared" si="12"/>
        <v>-500</v>
      </c>
    </row>
    <row r="19" spans="3:22" x14ac:dyDescent="0.25">
      <c r="C19" s="537" t="s">
        <v>201</v>
      </c>
      <c r="G19" s="538"/>
      <c r="H19" s="533"/>
      <c r="I19" s="529">
        <f t="shared" si="6"/>
        <v>391.58</v>
      </c>
      <c r="J19" s="539">
        <f t="shared" si="13"/>
        <v>391.58</v>
      </c>
      <c r="K19" s="1022"/>
      <c r="L19" s="529">
        <f t="shared" si="14"/>
        <v>391.58</v>
      </c>
      <c r="M19" s="539">
        <f t="shared" si="7"/>
        <v>0</v>
      </c>
      <c r="N19" s="533"/>
      <c r="O19" s="529">
        <f t="shared" si="15"/>
        <v>391.58</v>
      </c>
      <c r="P19" s="539">
        <f t="shared" si="8"/>
        <v>0</v>
      </c>
      <c r="Q19" s="533"/>
      <c r="R19" s="529">
        <f t="shared" si="9"/>
        <v>391.58</v>
      </c>
      <c r="S19" s="539">
        <f t="shared" si="10"/>
        <v>0</v>
      </c>
      <c r="T19" s="533"/>
      <c r="U19" s="529">
        <f t="shared" si="11"/>
        <v>391.58</v>
      </c>
      <c r="V19" s="539">
        <f t="shared" si="12"/>
        <v>0</v>
      </c>
    </row>
    <row r="20" spans="3:22" x14ac:dyDescent="0.25">
      <c r="C20" s="537" t="s">
        <v>202</v>
      </c>
      <c r="G20" s="538"/>
      <c r="H20" s="533"/>
      <c r="I20" s="529">
        <f t="shared" si="6"/>
        <v>258.33333333333331</v>
      </c>
      <c r="J20" s="539">
        <f t="shared" si="13"/>
        <v>258.33333333333331</v>
      </c>
      <c r="K20" s="1022"/>
      <c r="L20" s="529">
        <f t="shared" si="14"/>
        <v>258.33333333333331</v>
      </c>
      <c r="M20" s="539">
        <f t="shared" si="7"/>
        <v>0</v>
      </c>
      <c r="N20" s="533"/>
      <c r="O20" s="529">
        <f t="shared" si="15"/>
        <v>0</v>
      </c>
      <c r="P20" s="539">
        <f t="shared" si="8"/>
        <v>-258.33333333333331</v>
      </c>
      <c r="Q20" s="533"/>
      <c r="R20" s="529">
        <f t="shared" si="9"/>
        <v>258.33333333333331</v>
      </c>
      <c r="S20" s="539">
        <f t="shared" si="10"/>
        <v>0</v>
      </c>
      <c r="T20" s="533"/>
      <c r="U20" s="529">
        <f t="shared" si="11"/>
        <v>258.33333333333331</v>
      </c>
      <c r="V20" s="539">
        <f t="shared" si="12"/>
        <v>0</v>
      </c>
    </row>
    <row r="21" spans="3:22" x14ac:dyDescent="0.25">
      <c r="C21" s="537" t="s">
        <v>203</v>
      </c>
      <c r="G21" s="538"/>
      <c r="H21" s="533"/>
      <c r="I21" s="529">
        <f t="shared" si="6"/>
        <v>20.58</v>
      </c>
      <c r="J21" s="539">
        <f t="shared" si="13"/>
        <v>20.58</v>
      </c>
      <c r="K21" s="1022"/>
      <c r="L21" s="529">
        <f t="shared" si="14"/>
        <v>20.58</v>
      </c>
      <c r="M21" s="539">
        <f t="shared" si="7"/>
        <v>0</v>
      </c>
      <c r="N21" s="533"/>
      <c r="O21" s="529">
        <f t="shared" si="15"/>
        <v>20.58</v>
      </c>
      <c r="P21" s="539">
        <f t="shared" si="8"/>
        <v>0</v>
      </c>
      <c r="Q21" s="533"/>
      <c r="R21" s="529">
        <f t="shared" si="9"/>
        <v>20.58</v>
      </c>
      <c r="S21" s="539">
        <f t="shared" si="10"/>
        <v>0</v>
      </c>
      <c r="T21" s="533"/>
      <c r="U21" s="529">
        <f t="shared" si="11"/>
        <v>20.58</v>
      </c>
      <c r="V21" s="539">
        <f t="shared" si="12"/>
        <v>0</v>
      </c>
    </row>
    <row r="22" spans="3:22" x14ac:dyDescent="0.25">
      <c r="C22" s="537" t="s">
        <v>204</v>
      </c>
      <c r="G22" s="538"/>
      <c r="H22" s="533"/>
      <c r="I22" s="529">
        <f t="shared" si="6"/>
        <v>149.16666666666666</v>
      </c>
      <c r="J22" s="539">
        <f t="shared" si="13"/>
        <v>149.16666666666666</v>
      </c>
      <c r="K22" s="1022"/>
      <c r="L22" s="529">
        <f t="shared" si="14"/>
        <v>149.16666666666666</v>
      </c>
      <c r="M22" s="539">
        <f t="shared" si="7"/>
        <v>0</v>
      </c>
      <c r="N22" s="533"/>
      <c r="O22" s="529">
        <f t="shared" si="15"/>
        <v>149.16666666666666</v>
      </c>
      <c r="P22" s="539">
        <f t="shared" si="8"/>
        <v>0</v>
      </c>
      <c r="Q22" s="533"/>
      <c r="R22" s="529">
        <f t="shared" si="9"/>
        <v>149.16666666666666</v>
      </c>
      <c r="S22" s="539">
        <f t="shared" si="10"/>
        <v>0</v>
      </c>
      <c r="T22" s="533"/>
      <c r="U22" s="529">
        <f t="shared" si="11"/>
        <v>149.16666666666666</v>
      </c>
      <c r="V22" s="539">
        <f t="shared" si="12"/>
        <v>0</v>
      </c>
    </row>
    <row r="23" spans="3:22" x14ac:dyDescent="0.25">
      <c r="C23" s="537" t="s">
        <v>205</v>
      </c>
      <c r="G23" s="538"/>
      <c r="H23" s="533"/>
      <c r="I23" s="529">
        <f t="shared" si="6"/>
        <v>250</v>
      </c>
      <c r="J23" s="539">
        <f t="shared" si="13"/>
        <v>250</v>
      </c>
      <c r="K23" s="1022"/>
      <c r="L23" s="529">
        <f t="shared" si="14"/>
        <v>250</v>
      </c>
      <c r="M23" s="539">
        <f t="shared" si="7"/>
        <v>0</v>
      </c>
      <c r="N23" s="533"/>
      <c r="O23" s="529">
        <f t="shared" si="15"/>
        <v>50</v>
      </c>
      <c r="P23" s="539">
        <f t="shared" si="8"/>
        <v>-200</v>
      </c>
      <c r="Q23" s="533"/>
      <c r="R23" s="529">
        <f t="shared" si="9"/>
        <v>250</v>
      </c>
      <c r="S23" s="539">
        <f t="shared" si="10"/>
        <v>0</v>
      </c>
      <c r="T23" s="533"/>
      <c r="U23" s="529">
        <f t="shared" si="11"/>
        <v>250</v>
      </c>
      <c r="V23" s="539">
        <f t="shared" si="12"/>
        <v>0</v>
      </c>
    </row>
    <row r="24" spans="3:22" x14ac:dyDescent="0.25">
      <c r="C24" s="537" t="s">
        <v>206</v>
      </c>
      <c r="G24" s="538"/>
      <c r="H24" s="533"/>
      <c r="I24" s="529">
        <f t="shared" si="6"/>
        <v>113.41666666666667</v>
      </c>
      <c r="J24" s="539">
        <f t="shared" si="13"/>
        <v>113.41666666666667</v>
      </c>
      <c r="K24" s="1022"/>
      <c r="L24" s="529">
        <f t="shared" si="14"/>
        <v>113.41666666666667</v>
      </c>
      <c r="M24" s="539">
        <f t="shared" si="7"/>
        <v>0</v>
      </c>
      <c r="N24" s="533"/>
      <c r="O24" s="529">
        <f t="shared" si="15"/>
        <v>98.75</v>
      </c>
      <c r="P24" s="539">
        <f t="shared" si="8"/>
        <v>-14.666666666666671</v>
      </c>
      <c r="Q24" s="533"/>
      <c r="R24" s="529">
        <f t="shared" si="9"/>
        <v>113.41666666666667</v>
      </c>
      <c r="S24" s="539">
        <f t="shared" si="10"/>
        <v>0</v>
      </c>
      <c r="T24" s="533"/>
      <c r="U24" s="529">
        <f t="shared" si="11"/>
        <v>113.41666666666667</v>
      </c>
      <c r="V24" s="539">
        <f t="shared" si="12"/>
        <v>0</v>
      </c>
    </row>
    <row r="25" spans="3:22" x14ac:dyDescent="0.25">
      <c r="C25" s="537" t="s">
        <v>207</v>
      </c>
      <c r="G25" s="538"/>
      <c r="H25" s="533"/>
      <c r="I25" s="529">
        <f t="shared" si="6"/>
        <v>58.083333333333329</v>
      </c>
      <c r="J25" s="539">
        <f t="shared" si="13"/>
        <v>58.083333333333329</v>
      </c>
      <c r="K25" s="1022"/>
      <c r="L25" s="529">
        <f t="shared" si="14"/>
        <v>58.083333333333329</v>
      </c>
      <c r="M25" s="539">
        <f t="shared" si="7"/>
        <v>0</v>
      </c>
      <c r="N25" s="533"/>
      <c r="O25" s="529">
        <f t="shared" si="15"/>
        <v>58.083333333333329</v>
      </c>
      <c r="P25" s="539">
        <f t="shared" si="8"/>
        <v>0</v>
      </c>
      <c r="Q25" s="533"/>
      <c r="R25" s="529">
        <f t="shared" si="9"/>
        <v>0</v>
      </c>
      <c r="S25" s="539">
        <f t="shared" si="10"/>
        <v>-58.083333333333329</v>
      </c>
      <c r="T25" s="533"/>
      <c r="U25" s="529">
        <f t="shared" si="11"/>
        <v>0</v>
      </c>
      <c r="V25" s="539">
        <f t="shared" si="12"/>
        <v>-58.083333333333329</v>
      </c>
    </row>
    <row r="26" spans="3:22" x14ac:dyDescent="0.25">
      <c r="C26" s="540" t="s">
        <v>122</v>
      </c>
      <c r="G26" s="538"/>
      <c r="H26" s="533"/>
      <c r="I26" s="529">
        <f t="shared" si="6"/>
        <v>64</v>
      </c>
      <c r="J26" s="539">
        <f t="shared" si="13"/>
        <v>64</v>
      </c>
      <c r="K26" s="1022"/>
      <c r="L26" s="529">
        <f t="shared" si="14"/>
        <v>64</v>
      </c>
      <c r="M26" s="539">
        <f t="shared" si="7"/>
        <v>0</v>
      </c>
      <c r="N26" s="533"/>
      <c r="O26" s="529">
        <f t="shared" si="15"/>
        <v>64</v>
      </c>
      <c r="P26" s="539">
        <f t="shared" si="8"/>
        <v>0</v>
      </c>
      <c r="Q26" s="533"/>
      <c r="R26" s="529">
        <f t="shared" si="9"/>
        <v>64</v>
      </c>
      <c r="S26" s="539">
        <f t="shared" si="10"/>
        <v>0</v>
      </c>
      <c r="T26" s="533"/>
      <c r="U26" s="529">
        <f t="shared" si="11"/>
        <v>64</v>
      </c>
      <c r="V26" s="539">
        <f t="shared" si="12"/>
        <v>0</v>
      </c>
    </row>
    <row r="27" spans="3:22" x14ac:dyDescent="0.25">
      <c r="C27" s="540" t="s">
        <v>208</v>
      </c>
      <c r="G27" s="538"/>
      <c r="H27" s="533"/>
      <c r="I27" s="529">
        <f t="shared" si="6"/>
        <v>200</v>
      </c>
      <c r="J27" s="539">
        <f t="shared" si="13"/>
        <v>200</v>
      </c>
      <c r="K27" s="1022"/>
      <c r="L27" s="529">
        <f t="shared" si="14"/>
        <v>200</v>
      </c>
      <c r="M27" s="539">
        <f t="shared" si="7"/>
        <v>0</v>
      </c>
      <c r="N27" s="533"/>
      <c r="O27" s="529">
        <f t="shared" si="15"/>
        <v>200</v>
      </c>
      <c r="P27" s="539">
        <f t="shared" si="8"/>
        <v>0</v>
      </c>
      <c r="Q27" s="533"/>
      <c r="R27" s="529">
        <f t="shared" si="9"/>
        <v>200</v>
      </c>
      <c r="S27" s="539">
        <f t="shared" si="10"/>
        <v>0</v>
      </c>
      <c r="T27" s="533"/>
      <c r="U27" s="529">
        <f t="shared" si="11"/>
        <v>200</v>
      </c>
      <c r="V27" s="539">
        <f t="shared" si="12"/>
        <v>0</v>
      </c>
    </row>
    <row r="28" spans="3:22" x14ac:dyDescent="0.25">
      <c r="C28" s="540" t="s">
        <v>209</v>
      </c>
      <c r="G28" s="538"/>
      <c r="H28" s="533"/>
      <c r="I28" s="529">
        <f t="shared" si="6"/>
        <v>275</v>
      </c>
      <c r="J28" s="539">
        <f t="shared" si="13"/>
        <v>275</v>
      </c>
      <c r="K28" s="1022"/>
      <c r="L28" s="529">
        <f t="shared" si="14"/>
        <v>275</v>
      </c>
      <c r="M28" s="539">
        <f t="shared" si="7"/>
        <v>0</v>
      </c>
      <c r="N28" s="533"/>
      <c r="O28" s="529">
        <f t="shared" si="15"/>
        <v>0</v>
      </c>
      <c r="P28" s="539">
        <f t="shared" si="8"/>
        <v>-275</v>
      </c>
      <c r="Q28" s="533"/>
      <c r="R28" s="529">
        <f t="shared" si="9"/>
        <v>275</v>
      </c>
      <c r="S28" s="539">
        <f t="shared" si="10"/>
        <v>0</v>
      </c>
      <c r="T28" s="533"/>
      <c r="U28" s="529">
        <f t="shared" si="11"/>
        <v>0</v>
      </c>
      <c r="V28" s="539">
        <f t="shared" si="12"/>
        <v>-275</v>
      </c>
    </row>
    <row r="29" spans="3:22" x14ac:dyDescent="0.25">
      <c r="C29" s="541" t="s">
        <v>181</v>
      </c>
      <c r="G29" s="538"/>
      <c r="H29" s="533"/>
      <c r="I29" s="529">
        <f t="shared" si="6"/>
        <v>166.66666666666666</v>
      </c>
      <c r="J29" s="539">
        <f t="shared" si="13"/>
        <v>166.66666666666666</v>
      </c>
      <c r="K29" s="1022"/>
      <c r="L29" s="529">
        <f t="shared" si="14"/>
        <v>166.66666666666666</v>
      </c>
      <c r="M29" s="539">
        <f t="shared" si="7"/>
        <v>0</v>
      </c>
      <c r="N29" s="533"/>
      <c r="O29" s="529">
        <f t="shared" si="15"/>
        <v>166.66666666666666</v>
      </c>
      <c r="P29" s="539">
        <f t="shared" si="8"/>
        <v>0</v>
      </c>
      <c r="Q29" s="533"/>
      <c r="R29" s="529">
        <f t="shared" si="9"/>
        <v>166.66666666666666</v>
      </c>
      <c r="S29" s="539">
        <f t="shared" si="10"/>
        <v>0</v>
      </c>
      <c r="T29" s="533"/>
      <c r="U29" s="529">
        <f t="shared" si="11"/>
        <v>166.66666666666666</v>
      </c>
      <c r="V29" s="539">
        <f t="shared" si="12"/>
        <v>0</v>
      </c>
    </row>
    <row r="30" spans="3:22" x14ac:dyDescent="0.25">
      <c r="C30" s="541" t="s">
        <v>210</v>
      </c>
      <c r="G30" s="538"/>
      <c r="H30" s="533"/>
      <c r="I30" s="529">
        <f t="shared" si="6"/>
        <v>83.333333333333329</v>
      </c>
      <c r="J30" s="539">
        <f t="shared" si="13"/>
        <v>83.333333333333329</v>
      </c>
      <c r="K30" s="1022"/>
      <c r="L30" s="529">
        <f t="shared" si="14"/>
        <v>83.333333333333329</v>
      </c>
      <c r="M30" s="539">
        <f t="shared" si="7"/>
        <v>0</v>
      </c>
      <c r="N30" s="533"/>
      <c r="O30" s="529">
        <f t="shared" si="15"/>
        <v>83.333333333333329</v>
      </c>
      <c r="P30" s="539">
        <f t="shared" si="8"/>
        <v>0</v>
      </c>
      <c r="Q30" s="533"/>
      <c r="R30" s="529">
        <f t="shared" si="9"/>
        <v>83.333333333333329</v>
      </c>
      <c r="S30" s="539">
        <f t="shared" si="10"/>
        <v>0</v>
      </c>
      <c r="T30" s="533"/>
      <c r="U30" s="529">
        <f t="shared" si="11"/>
        <v>83.333333333333329</v>
      </c>
      <c r="V30" s="539">
        <f t="shared" si="12"/>
        <v>0</v>
      </c>
    </row>
    <row r="31" spans="3:22" x14ac:dyDescent="0.25">
      <c r="C31" s="541" t="s">
        <v>158</v>
      </c>
      <c r="G31" s="538"/>
      <c r="H31" s="533"/>
      <c r="I31" s="529">
        <f t="shared" si="6"/>
        <v>66.666666666666671</v>
      </c>
      <c r="J31" s="539">
        <f t="shared" si="13"/>
        <v>66.666666666666671</v>
      </c>
      <c r="K31" s="1022"/>
      <c r="L31" s="529">
        <f t="shared" si="14"/>
        <v>66.666666666666671</v>
      </c>
      <c r="M31" s="539">
        <f t="shared" si="7"/>
        <v>0</v>
      </c>
      <c r="N31" s="533"/>
      <c r="O31" s="529">
        <f t="shared" si="15"/>
        <v>66.666666666666671</v>
      </c>
      <c r="P31" s="539">
        <f t="shared" si="8"/>
        <v>0</v>
      </c>
      <c r="Q31" s="533"/>
      <c r="R31" s="529">
        <f t="shared" si="9"/>
        <v>66.666666666666671</v>
      </c>
      <c r="S31" s="539">
        <f t="shared" si="10"/>
        <v>0</v>
      </c>
      <c r="T31" s="533"/>
      <c r="U31" s="529">
        <f t="shared" si="11"/>
        <v>66.666666666666671</v>
      </c>
      <c r="V31" s="539">
        <f t="shared" si="12"/>
        <v>0</v>
      </c>
    </row>
    <row r="32" spans="3:22" x14ac:dyDescent="0.25">
      <c r="C32" s="541" t="s">
        <v>211</v>
      </c>
      <c r="G32" s="538"/>
      <c r="H32" s="533"/>
      <c r="I32" s="529">
        <f t="shared" si="6"/>
        <v>41.666666666666664</v>
      </c>
      <c r="J32" s="539">
        <f t="shared" si="13"/>
        <v>41.666666666666664</v>
      </c>
      <c r="K32" s="1022"/>
      <c r="L32" s="529">
        <f t="shared" si="14"/>
        <v>41.666666666666664</v>
      </c>
      <c r="M32" s="539">
        <f t="shared" si="7"/>
        <v>0</v>
      </c>
      <c r="N32" s="533"/>
      <c r="O32" s="529">
        <f t="shared" si="15"/>
        <v>41.666666666666664</v>
      </c>
      <c r="P32" s="539">
        <f t="shared" si="8"/>
        <v>0</v>
      </c>
      <c r="Q32" s="533"/>
      <c r="R32" s="529">
        <f t="shared" si="9"/>
        <v>41.666666666666664</v>
      </c>
      <c r="S32" s="539">
        <f t="shared" si="10"/>
        <v>0</v>
      </c>
      <c r="T32" s="533"/>
      <c r="U32" s="529">
        <f t="shared" si="11"/>
        <v>41.666666666666664</v>
      </c>
      <c r="V32" s="539">
        <f t="shared" si="12"/>
        <v>0</v>
      </c>
    </row>
    <row r="33" spans="1:22" x14ac:dyDescent="0.25">
      <c r="C33" s="541" t="s">
        <v>212</v>
      </c>
      <c r="G33" s="538"/>
      <c r="H33" s="533"/>
      <c r="I33" s="529">
        <f t="shared" si="6"/>
        <v>41.666666666666664</v>
      </c>
      <c r="J33" s="539">
        <f t="shared" si="13"/>
        <v>41.666666666666664</v>
      </c>
      <c r="K33" s="1022"/>
      <c r="L33" s="529">
        <f t="shared" si="14"/>
        <v>41.666666666666664</v>
      </c>
      <c r="M33" s="539">
        <f t="shared" si="7"/>
        <v>0</v>
      </c>
      <c r="N33" s="533"/>
      <c r="O33" s="529">
        <f t="shared" si="15"/>
        <v>41.666666666666664</v>
      </c>
      <c r="P33" s="539">
        <f t="shared" si="8"/>
        <v>0</v>
      </c>
      <c r="Q33" s="533"/>
      <c r="R33" s="529">
        <f t="shared" si="9"/>
        <v>41.666666666666664</v>
      </c>
      <c r="S33" s="539">
        <f t="shared" si="10"/>
        <v>0</v>
      </c>
      <c r="T33" s="533"/>
      <c r="U33" s="529">
        <f t="shared" si="11"/>
        <v>41.666666666666664</v>
      </c>
      <c r="V33" s="539">
        <f t="shared" si="12"/>
        <v>0</v>
      </c>
    </row>
    <row r="34" spans="1:22" x14ac:dyDescent="0.25">
      <c r="C34" s="541" t="s">
        <v>213</v>
      </c>
      <c r="G34" s="538"/>
      <c r="H34" s="533"/>
      <c r="I34" s="529">
        <f t="shared" si="6"/>
        <v>83.333333333333329</v>
      </c>
      <c r="J34" s="539">
        <f t="shared" si="13"/>
        <v>83.333333333333329</v>
      </c>
      <c r="K34" s="1022"/>
      <c r="L34" s="529">
        <f t="shared" si="14"/>
        <v>83.333333333333329</v>
      </c>
      <c r="M34" s="539">
        <f t="shared" si="7"/>
        <v>0</v>
      </c>
      <c r="N34" s="533"/>
      <c r="O34" s="529">
        <f t="shared" si="15"/>
        <v>83.333333333333329</v>
      </c>
      <c r="P34" s="539">
        <f t="shared" si="8"/>
        <v>0</v>
      </c>
      <c r="Q34" s="533"/>
      <c r="R34" s="529">
        <f t="shared" si="9"/>
        <v>83.333333333333329</v>
      </c>
      <c r="S34" s="539">
        <f t="shared" si="10"/>
        <v>0</v>
      </c>
      <c r="T34" s="533"/>
      <c r="U34" s="529">
        <f t="shared" si="11"/>
        <v>83.333333333333329</v>
      </c>
      <c r="V34" s="539">
        <f t="shared" si="12"/>
        <v>0</v>
      </c>
    </row>
    <row r="35" spans="1:22" x14ac:dyDescent="0.25">
      <c r="G35" s="526"/>
      <c r="H35" s="533"/>
      <c r="I35" s="542">
        <f>SUBTOTAL(9,I15:I34)</f>
        <v>4973.4933333333338</v>
      </c>
      <c r="J35" s="542">
        <f>I35*12</f>
        <v>59681.920000000006</v>
      </c>
      <c r="K35" s="533"/>
      <c r="L35" s="542">
        <f>SUBTOTAL(9,L15:L34)</f>
        <v>4973.4933333333338</v>
      </c>
      <c r="M35" s="542">
        <f>L35*12</f>
        <v>59681.920000000006</v>
      </c>
      <c r="N35" s="533"/>
      <c r="O35" s="542">
        <f>SUBTOTAL(9,O15:O34)</f>
        <v>2915.4933333333333</v>
      </c>
      <c r="P35" s="542">
        <f>O35*12</f>
        <v>34985.919999999998</v>
      </c>
      <c r="Q35" s="533"/>
      <c r="R35" s="542">
        <f>SUBTOTAL(9,R15:R34)</f>
        <v>4415.41</v>
      </c>
      <c r="S35" s="543">
        <f>R35*12</f>
        <v>52984.92</v>
      </c>
      <c r="T35" s="533"/>
      <c r="U35" s="542">
        <f>SUBTOTAL(9,U15:U34)</f>
        <v>4140.4099999999989</v>
      </c>
      <c r="V35" s="543">
        <f>U35*12</f>
        <v>49684.919999999984</v>
      </c>
    </row>
    <row r="36" spans="1:22" x14ac:dyDescent="0.25">
      <c r="G36" s="526"/>
      <c r="H36" s="533"/>
      <c r="J36" s="534"/>
      <c r="N36" s="533"/>
      <c r="P36" s="534"/>
      <c r="Q36" s="533"/>
      <c r="S36" s="534"/>
      <c r="T36" s="533"/>
      <c r="V36" s="534"/>
    </row>
    <row r="37" spans="1:22" ht="15.75" x14ac:dyDescent="0.25">
      <c r="A37" s="527" t="s">
        <v>200</v>
      </c>
      <c r="G37" s="544"/>
      <c r="H37" s="545"/>
      <c r="I37" s="546">
        <f>I13-I35</f>
        <v>326.50666666666621</v>
      </c>
      <c r="J37" s="547"/>
      <c r="K37" s="544"/>
      <c r="L37" s="546">
        <f>L13-L35</f>
        <v>326.50666666666621</v>
      </c>
      <c r="M37" s="544"/>
      <c r="N37" s="545"/>
      <c r="O37" s="546">
        <f>O13-O35</f>
        <v>2384.5066666666667</v>
      </c>
      <c r="P37" s="534"/>
      <c r="Q37" s="545"/>
      <c r="R37" s="546">
        <f>R13-R35</f>
        <v>884.59000000000015</v>
      </c>
      <c r="S37" s="547"/>
      <c r="T37" s="545"/>
      <c r="U37" s="546">
        <f>U13-U35</f>
        <v>1159.5900000000011</v>
      </c>
      <c r="V37" s="547"/>
    </row>
    <row r="38" spans="1:22" x14ac:dyDescent="0.25">
      <c r="H38" s="533"/>
      <c r="J38" s="534"/>
      <c r="N38" s="533"/>
      <c r="P38" s="534"/>
      <c r="Q38" s="533"/>
      <c r="S38" s="534"/>
      <c r="T38" s="533"/>
      <c r="V38" s="534"/>
    </row>
    <row r="39" spans="1:22" ht="15.75" thickBot="1" x14ac:dyDescent="0.3">
      <c r="H39" s="533"/>
      <c r="J39" s="534"/>
      <c r="N39" s="533"/>
      <c r="P39" s="534"/>
      <c r="Q39" s="533"/>
      <c r="S39" s="534"/>
      <c r="T39" s="533"/>
      <c r="V39" s="534"/>
    </row>
    <row r="40" spans="1:22" ht="15.75" thickBot="1" x14ac:dyDescent="0.3">
      <c r="A40" s="548" t="s">
        <v>35</v>
      </c>
      <c r="B40" s="549" t="s">
        <v>34</v>
      </c>
      <c r="C40" s="550" t="s">
        <v>177</v>
      </c>
      <c r="D40" s="549" t="s">
        <v>214</v>
      </c>
      <c r="E40" s="549" t="s">
        <v>215</v>
      </c>
      <c r="F40" s="551" t="s">
        <v>216</v>
      </c>
      <c r="G40" s="552"/>
      <c r="H40" s="553" t="s">
        <v>217</v>
      </c>
      <c r="I40" s="554" t="s">
        <v>216</v>
      </c>
      <c r="J40" s="555"/>
      <c r="K40" s="553" t="s">
        <v>217</v>
      </c>
      <c r="L40" s="554" t="s">
        <v>216</v>
      </c>
      <c r="M40" s="555"/>
      <c r="N40" s="553" t="s">
        <v>217</v>
      </c>
      <c r="O40" s="554" t="s">
        <v>216</v>
      </c>
      <c r="P40" s="534"/>
      <c r="Q40" s="553" t="s">
        <v>217</v>
      </c>
      <c r="R40" s="554" t="s">
        <v>216</v>
      </c>
      <c r="S40" s="555"/>
      <c r="T40" s="553" t="s">
        <v>217</v>
      </c>
      <c r="U40" s="554" t="s">
        <v>216</v>
      </c>
      <c r="V40" s="555"/>
    </row>
    <row r="41" spans="1:22" x14ac:dyDescent="0.25">
      <c r="A41" s="556" t="s">
        <v>67</v>
      </c>
      <c r="B41" s="557" t="s">
        <v>0</v>
      </c>
      <c r="C41" s="557" t="s">
        <v>67</v>
      </c>
      <c r="D41" s="531">
        <v>810</v>
      </c>
      <c r="E41" s="558" t="s">
        <v>195</v>
      </c>
      <c r="F41" s="559">
        <f t="shared" ref="F41:F72" si="16">IF($E41="MENSUAL",$D41,IF($E41="TRIMESTRAL",$D41/3,IF($E41="SEMESTRAL",$D41/2,IF($E41="ANUAL",$D41/12,IF($E41="BIMENSUAL",$D41/2)))))</f>
        <v>810</v>
      </c>
      <c r="G41" s="560"/>
      <c r="H41" s="561" t="s">
        <v>218</v>
      </c>
      <c r="I41" s="559">
        <f t="shared" ref="I41:I72" si="17">IF($H41="NO",IF($E41="MENSUAL",$D41,IF($E41="TRIMESTRAL",$D41/3,IF($E41="SEMESTRAL",$D41/2,IF($E41="ANUAL",$D41/12,IF($E41="BIMENSUAL",$D41/2))))),0)</f>
        <v>810</v>
      </c>
      <c r="J41" s="562"/>
      <c r="K41" s="561" t="s">
        <v>218</v>
      </c>
      <c r="L41" s="559">
        <f t="shared" ref="L41:L104" si="18">IF($H41="NO",IF($E41="MENSUAL",$D41,IF($E41="TRIMESTRAL",$D41/3,IF($E41="SEMESTRAL",$D41/2,IF($E41="ANUAL",$D41/12,IF($E41="BIMENSUAL",$D41/2))))),0)</f>
        <v>810</v>
      </c>
      <c r="M41" s="562"/>
      <c r="N41" s="561" t="s">
        <v>219</v>
      </c>
      <c r="O41" s="559">
        <f t="shared" ref="O41:O72" si="19">IF($N41="NO",IF($E41="MENSUAL",$D41,IF($E41="TRIMESTRAL",$D41/3,IF($E41="SEMESTRAL",$D41/2,IF($E41="ANUAL",$D41/12,IF($E41="BIMENSUAL",$D41/2))))),0)</f>
        <v>0</v>
      </c>
      <c r="P41" s="534"/>
      <c r="Q41" s="561" t="s">
        <v>218</v>
      </c>
      <c r="R41" s="559">
        <f t="shared" ref="R41:R72" si="20">IF($Q41="NO",IF($E41="MENSUAL",$D41,IF($E41="TRIMESTRAL",$D41/3,IF($E41="SEMESTRAL",$D41/2,IF($E41="ANUAL",$D41/12,IF($E41="BIMENSUAL",$D41/2))))),0)</f>
        <v>810</v>
      </c>
      <c r="S41" s="562"/>
      <c r="T41" s="561" t="s">
        <v>218</v>
      </c>
      <c r="U41" s="559">
        <f t="shared" ref="U41:U72" si="21">IF($T41="NO",IF($E41="MENSUAL",$D41,IF($E41="TRIMESTRAL",$D41/3,IF($E41="SEMESTRAL",$D41/2,IF($E41="ANUAL",$D41/12,IF($E41="BIMENSUAL",$D41/2))))),0)</f>
        <v>810</v>
      </c>
      <c r="V41" s="562"/>
    </row>
    <row r="42" spans="1:22" x14ac:dyDescent="0.25">
      <c r="A42" s="563" t="s">
        <v>200</v>
      </c>
      <c r="B42" s="564" t="s">
        <v>0</v>
      </c>
      <c r="C42" s="564" t="s">
        <v>200</v>
      </c>
      <c r="D42" s="565">
        <v>0</v>
      </c>
      <c r="E42" s="566" t="s">
        <v>197</v>
      </c>
      <c r="F42" s="567">
        <f t="shared" si="16"/>
        <v>0</v>
      </c>
      <c r="G42" s="560"/>
      <c r="H42" s="568" t="s">
        <v>218</v>
      </c>
      <c r="I42" s="567">
        <f t="shared" si="17"/>
        <v>0</v>
      </c>
      <c r="J42" s="562"/>
      <c r="K42" s="568" t="s">
        <v>218</v>
      </c>
      <c r="L42" s="567">
        <f t="shared" si="18"/>
        <v>0</v>
      </c>
      <c r="M42" s="562"/>
      <c r="N42" s="568" t="s">
        <v>218</v>
      </c>
      <c r="O42" s="567">
        <f t="shared" si="19"/>
        <v>0</v>
      </c>
      <c r="P42" s="534"/>
      <c r="Q42" s="568" t="s">
        <v>218</v>
      </c>
      <c r="R42" s="567">
        <f t="shared" si="20"/>
        <v>0</v>
      </c>
      <c r="S42" s="562"/>
      <c r="T42" s="568" t="s">
        <v>218</v>
      </c>
      <c r="U42" s="567">
        <f t="shared" si="21"/>
        <v>0</v>
      </c>
      <c r="V42" s="562"/>
    </row>
    <row r="43" spans="1:22" x14ac:dyDescent="0.25">
      <c r="A43" s="569" t="s">
        <v>70</v>
      </c>
      <c r="B43" s="570" t="s">
        <v>0</v>
      </c>
      <c r="C43" s="570" t="s">
        <v>201</v>
      </c>
      <c r="D43" s="529">
        <v>43.83</v>
      </c>
      <c r="E43" s="571" t="s">
        <v>195</v>
      </c>
      <c r="F43" s="567">
        <f t="shared" si="16"/>
        <v>43.83</v>
      </c>
      <c r="G43" s="560"/>
      <c r="H43" s="568" t="s">
        <v>218</v>
      </c>
      <c r="I43" s="567">
        <f t="shared" si="17"/>
        <v>43.83</v>
      </c>
      <c r="J43" s="562"/>
      <c r="K43" s="568" t="s">
        <v>218</v>
      </c>
      <c r="L43" s="567">
        <f t="shared" si="18"/>
        <v>43.83</v>
      </c>
      <c r="M43" s="562"/>
      <c r="N43" s="568" t="s">
        <v>218</v>
      </c>
      <c r="O43" s="567">
        <f t="shared" si="19"/>
        <v>43.83</v>
      </c>
      <c r="P43" s="534"/>
      <c r="Q43" s="568" t="s">
        <v>218</v>
      </c>
      <c r="R43" s="567">
        <f t="shared" si="20"/>
        <v>43.83</v>
      </c>
      <c r="S43" s="562"/>
      <c r="T43" s="568" t="s">
        <v>218</v>
      </c>
      <c r="U43" s="567">
        <f t="shared" si="21"/>
        <v>43.83</v>
      </c>
      <c r="V43" s="562"/>
    </row>
    <row r="44" spans="1:22" x14ac:dyDescent="0.25">
      <c r="A44" s="569" t="s">
        <v>103</v>
      </c>
      <c r="B44" s="570" t="s">
        <v>0</v>
      </c>
      <c r="C44" s="570" t="s">
        <v>206</v>
      </c>
      <c r="D44" s="529">
        <v>30</v>
      </c>
      <c r="E44" s="571" t="s">
        <v>195</v>
      </c>
      <c r="F44" s="567">
        <f t="shared" si="16"/>
        <v>30</v>
      </c>
      <c r="G44" s="560" t="s">
        <v>220</v>
      </c>
      <c r="H44" s="572" t="s">
        <v>218</v>
      </c>
      <c r="I44" s="567">
        <f t="shared" si="17"/>
        <v>30</v>
      </c>
      <c r="J44" s="562"/>
      <c r="K44" s="572" t="s">
        <v>218</v>
      </c>
      <c r="L44" s="567">
        <f t="shared" si="18"/>
        <v>30</v>
      </c>
      <c r="M44" s="562"/>
      <c r="N44" s="568" t="s">
        <v>218</v>
      </c>
      <c r="O44" s="567">
        <f t="shared" si="19"/>
        <v>30</v>
      </c>
      <c r="P44" s="534"/>
      <c r="Q44" s="568" t="s">
        <v>218</v>
      </c>
      <c r="R44" s="567">
        <f t="shared" si="20"/>
        <v>30</v>
      </c>
      <c r="S44" s="562"/>
      <c r="T44" s="568" t="s">
        <v>218</v>
      </c>
      <c r="U44" s="567">
        <f t="shared" si="21"/>
        <v>30</v>
      </c>
      <c r="V44" s="562"/>
    </row>
    <row r="45" spans="1:22" x14ac:dyDescent="0.25">
      <c r="A45" s="569" t="s">
        <v>104</v>
      </c>
      <c r="B45" s="570" t="s">
        <v>0</v>
      </c>
      <c r="C45" s="570" t="s">
        <v>206</v>
      </c>
      <c r="D45" s="529">
        <v>7.5</v>
      </c>
      <c r="E45" s="571" t="s">
        <v>195</v>
      </c>
      <c r="F45" s="567">
        <f t="shared" si="16"/>
        <v>7.5</v>
      </c>
      <c r="G45" s="560"/>
      <c r="H45" s="568" t="s">
        <v>218</v>
      </c>
      <c r="I45" s="567">
        <f t="shared" si="17"/>
        <v>7.5</v>
      </c>
      <c r="J45" s="562"/>
      <c r="K45" s="568" t="s">
        <v>218</v>
      </c>
      <c r="L45" s="567">
        <f t="shared" si="18"/>
        <v>7.5</v>
      </c>
      <c r="M45" s="562"/>
      <c r="N45" s="568" t="s">
        <v>218</v>
      </c>
      <c r="O45" s="567">
        <f t="shared" si="19"/>
        <v>7.5</v>
      </c>
      <c r="P45" s="534"/>
      <c r="Q45" s="568" t="s">
        <v>218</v>
      </c>
      <c r="R45" s="567">
        <f t="shared" si="20"/>
        <v>7.5</v>
      </c>
      <c r="S45" s="562"/>
      <c r="T45" s="568" t="s">
        <v>218</v>
      </c>
      <c r="U45" s="567">
        <f t="shared" si="21"/>
        <v>7.5</v>
      </c>
      <c r="V45" s="562"/>
    </row>
    <row r="46" spans="1:22" x14ac:dyDescent="0.25">
      <c r="A46" s="569" t="s">
        <v>221</v>
      </c>
      <c r="B46" s="570" t="s">
        <v>0</v>
      </c>
      <c r="C46" s="570" t="s">
        <v>206</v>
      </c>
      <c r="D46" s="529">
        <v>30</v>
      </c>
      <c r="E46" s="571" t="s">
        <v>195</v>
      </c>
      <c r="F46" s="567">
        <f t="shared" si="16"/>
        <v>30</v>
      </c>
      <c r="G46" s="538"/>
      <c r="H46" s="568" t="s">
        <v>219</v>
      </c>
      <c r="I46" s="567">
        <f t="shared" si="17"/>
        <v>0</v>
      </c>
      <c r="J46" s="562"/>
      <c r="K46" s="568" t="s">
        <v>219</v>
      </c>
      <c r="L46" s="567">
        <f t="shared" si="18"/>
        <v>0</v>
      </c>
      <c r="M46" s="562"/>
      <c r="N46" s="568" t="s">
        <v>219</v>
      </c>
      <c r="O46" s="567">
        <f t="shared" si="19"/>
        <v>0</v>
      </c>
      <c r="P46" s="534"/>
      <c r="Q46" s="568" t="s">
        <v>219</v>
      </c>
      <c r="R46" s="567">
        <f t="shared" si="20"/>
        <v>0</v>
      </c>
      <c r="S46" s="562"/>
      <c r="T46" s="568" t="s">
        <v>219</v>
      </c>
      <c r="U46" s="567">
        <f t="shared" si="21"/>
        <v>0</v>
      </c>
      <c r="V46" s="562"/>
    </row>
    <row r="47" spans="1:22" x14ac:dyDescent="0.25">
      <c r="A47" s="569" t="s">
        <v>81</v>
      </c>
      <c r="B47" s="570" t="s">
        <v>0</v>
      </c>
      <c r="C47" s="570" t="s">
        <v>201</v>
      </c>
      <c r="D47" s="529">
        <v>217</v>
      </c>
      <c r="E47" s="571" t="s">
        <v>197</v>
      </c>
      <c r="F47" s="567">
        <f t="shared" si="16"/>
        <v>18.083333333333332</v>
      </c>
      <c r="G47" s="560"/>
      <c r="H47" s="568" t="s">
        <v>218</v>
      </c>
      <c r="I47" s="567">
        <f t="shared" si="17"/>
        <v>18.083333333333332</v>
      </c>
      <c r="J47" s="562"/>
      <c r="K47" s="568" t="s">
        <v>218</v>
      </c>
      <c r="L47" s="567">
        <f t="shared" si="18"/>
        <v>18.083333333333332</v>
      </c>
      <c r="M47" s="562"/>
      <c r="N47" s="568" t="s">
        <v>218</v>
      </c>
      <c r="O47" s="567">
        <f t="shared" si="19"/>
        <v>18.083333333333332</v>
      </c>
      <c r="P47" s="534"/>
      <c r="Q47" s="568" t="s">
        <v>218</v>
      </c>
      <c r="R47" s="567">
        <f t="shared" si="20"/>
        <v>18.083333333333332</v>
      </c>
      <c r="S47" s="562"/>
      <c r="T47" s="568" t="s">
        <v>218</v>
      </c>
      <c r="U47" s="567">
        <f t="shared" si="21"/>
        <v>18.083333333333332</v>
      </c>
      <c r="V47" s="562"/>
    </row>
    <row r="48" spans="1:22" x14ac:dyDescent="0.25">
      <c r="A48" s="569" t="s">
        <v>82</v>
      </c>
      <c r="B48" s="570" t="s">
        <v>0</v>
      </c>
      <c r="C48" s="570" t="s">
        <v>201</v>
      </c>
      <c r="D48" s="529">
        <v>200</v>
      </c>
      <c r="E48" s="571" t="s">
        <v>197</v>
      </c>
      <c r="F48" s="567">
        <f t="shared" si="16"/>
        <v>16.666666666666668</v>
      </c>
      <c r="G48" s="560"/>
      <c r="H48" s="568" t="s">
        <v>218</v>
      </c>
      <c r="I48" s="567">
        <f t="shared" si="17"/>
        <v>16.666666666666668</v>
      </c>
      <c r="J48" s="562"/>
      <c r="K48" s="568" t="s">
        <v>218</v>
      </c>
      <c r="L48" s="567">
        <f t="shared" si="18"/>
        <v>16.666666666666668</v>
      </c>
      <c r="M48" s="562"/>
      <c r="N48" s="568" t="s">
        <v>218</v>
      </c>
      <c r="O48" s="567">
        <f t="shared" si="19"/>
        <v>16.666666666666668</v>
      </c>
      <c r="P48" s="534"/>
      <c r="Q48" s="568" t="s">
        <v>218</v>
      </c>
      <c r="R48" s="567">
        <f t="shared" si="20"/>
        <v>16.666666666666668</v>
      </c>
      <c r="S48" s="562"/>
      <c r="T48" s="568" t="s">
        <v>218</v>
      </c>
      <c r="U48" s="567">
        <f t="shared" si="21"/>
        <v>16.666666666666668</v>
      </c>
      <c r="V48" s="562"/>
    </row>
    <row r="49" spans="1:22" x14ac:dyDescent="0.25">
      <c r="A49" s="569" t="s">
        <v>83</v>
      </c>
      <c r="B49" s="570" t="s">
        <v>0</v>
      </c>
      <c r="C49" s="570" t="s">
        <v>201</v>
      </c>
      <c r="D49" s="529">
        <v>310</v>
      </c>
      <c r="E49" s="571" t="s">
        <v>197</v>
      </c>
      <c r="F49" s="567">
        <f t="shared" si="16"/>
        <v>25.833333333333332</v>
      </c>
      <c r="G49" s="560"/>
      <c r="H49" s="568" t="s">
        <v>218</v>
      </c>
      <c r="I49" s="567">
        <f t="shared" si="17"/>
        <v>25.833333333333332</v>
      </c>
      <c r="J49" s="562"/>
      <c r="K49" s="568" t="s">
        <v>218</v>
      </c>
      <c r="L49" s="567">
        <f t="shared" si="18"/>
        <v>25.833333333333332</v>
      </c>
      <c r="M49" s="562"/>
      <c r="N49" s="568" t="s">
        <v>218</v>
      </c>
      <c r="O49" s="567">
        <f t="shared" si="19"/>
        <v>25.833333333333332</v>
      </c>
      <c r="P49" s="534"/>
      <c r="Q49" s="568" t="s">
        <v>218</v>
      </c>
      <c r="R49" s="567">
        <f t="shared" si="20"/>
        <v>25.833333333333332</v>
      </c>
      <c r="S49" s="562"/>
      <c r="T49" s="568" t="s">
        <v>218</v>
      </c>
      <c r="U49" s="567">
        <f t="shared" si="21"/>
        <v>25.833333333333332</v>
      </c>
      <c r="V49" s="562"/>
    </row>
    <row r="50" spans="1:22" x14ac:dyDescent="0.25">
      <c r="A50" s="569" t="s">
        <v>78</v>
      </c>
      <c r="B50" s="570" t="s">
        <v>0</v>
      </c>
      <c r="C50" s="570" t="s">
        <v>201</v>
      </c>
      <c r="D50" s="529">
        <v>120</v>
      </c>
      <c r="E50" s="571" t="s">
        <v>222</v>
      </c>
      <c r="F50" s="567">
        <f t="shared" si="16"/>
        <v>40</v>
      </c>
      <c r="G50" s="560"/>
      <c r="H50" s="568" t="s">
        <v>218</v>
      </c>
      <c r="I50" s="567">
        <f t="shared" si="17"/>
        <v>40</v>
      </c>
      <c r="J50" s="562"/>
      <c r="K50" s="568" t="s">
        <v>218</v>
      </c>
      <c r="L50" s="567">
        <f t="shared" si="18"/>
        <v>40</v>
      </c>
      <c r="M50" s="562"/>
      <c r="N50" s="568" t="s">
        <v>218</v>
      </c>
      <c r="O50" s="567">
        <f t="shared" si="19"/>
        <v>40</v>
      </c>
      <c r="P50" s="534"/>
      <c r="Q50" s="568" t="s">
        <v>218</v>
      </c>
      <c r="R50" s="567">
        <f t="shared" si="20"/>
        <v>40</v>
      </c>
      <c r="S50" s="562"/>
      <c r="T50" s="568" t="s">
        <v>218</v>
      </c>
      <c r="U50" s="567">
        <f t="shared" si="21"/>
        <v>40</v>
      </c>
      <c r="V50" s="562"/>
    </row>
    <row r="51" spans="1:22" x14ac:dyDescent="0.25">
      <c r="A51" s="569" t="s">
        <v>76</v>
      </c>
      <c r="B51" s="570" t="s">
        <v>0</v>
      </c>
      <c r="C51" s="570" t="s">
        <v>201</v>
      </c>
      <c r="D51" s="529">
        <v>150</v>
      </c>
      <c r="E51" s="571" t="s">
        <v>223</v>
      </c>
      <c r="F51" s="567">
        <f t="shared" si="16"/>
        <v>75</v>
      </c>
      <c r="G51" s="560"/>
      <c r="H51" s="568" t="s">
        <v>218</v>
      </c>
      <c r="I51" s="567">
        <f t="shared" si="17"/>
        <v>75</v>
      </c>
      <c r="J51" s="562"/>
      <c r="K51" s="568" t="s">
        <v>218</v>
      </c>
      <c r="L51" s="567">
        <f t="shared" si="18"/>
        <v>75</v>
      </c>
      <c r="M51" s="562"/>
      <c r="N51" s="568" t="s">
        <v>218</v>
      </c>
      <c r="O51" s="567">
        <f t="shared" si="19"/>
        <v>75</v>
      </c>
      <c r="P51" s="534"/>
      <c r="Q51" s="568" t="s">
        <v>218</v>
      </c>
      <c r="R51" s="567">
        <f t="shared" si="20"/>
        <v>75</v>
      </c>
      <c r="S51" s="562"/>
      <c r="T51" s="568" t="s">
        <v>218</v>
      </c>
      <c r="U51" s="567">
        <f t="shared" si="21"/>
        <v>75</v>
      </c>
      <c r="V51" s="562"/>
    </row>
    <row r="52" spans="1:22" x14ac:dyDescent="0.25">
      <c r="A52" s="569" t="s">
        <v>224</v>
      </c>
      <c r="B52" s="570" t="s">
        <v>0</v>
      </c>
      <c r="C52" s="570" t="s">
        <v>201</v>
      </c>
      <c r="D52" s="529">
        <v>70</v>
      </c>
      <c r="E52" s="571" t="s">
        <v>195</v>
      </c>
      <c r="F52" s="567">
        <f t="shared" si="16"/>
        <v>70</v>
      </c>
      <c r="G52" s="560"/>
      <c r="H52" s="568" t="s">
        <v>218</v>
      </c>
      <c r="I52" s="567">
        <f t="shared" si="17"/>
        <v>70</v>
      </c>
      <c r="J52" s="562"/>
      <c r="K52" s="568" t="s">
        <v>218</v>
      </c>
      <c r="L52" s="567">
        <f t="shared" si="18"/>
        <v>70</v>
      </c>
      <c r="M52" s="562"/>
      <c r="N52" s="568" t="s">
        <v>218</v>
      </c>
      <c r="O52" s="567">
        <f t="shared" si="19"/>
        <v>70</v>
      </c>
      <c r="P52" s="534"/>
      <c r="Q52" s="568" t="s">
        <v>218</v>
      </c>
      <c r="R52" s="567">
        <f t="shared" si="20"/>
        <v>70</v>
      </c>
      <c r="S52" s="562"/>
      <c r="T52" s="568" t="s">
        <v>218</v>
      </c>
      <c r="U52" s="567">
        <f t="shared" si="21"/>
        <v>70</v>
      </c>
      <c r="V52" s="562"/>
    </row>
    <row r="53" spans="1:22" x14ac:dyDescent="0.25">
      <c r="A53" s="569" t="s">
        <v>225</v>
      </c>
      <c r="B53" s="570" t="s">
        <v>0</v>
      </c>
      <c r="C53" s="570" t="s">
        <v>201</v>
      </c>
      <c r="D53" s="529">
        <v>80</v>
      </c>
      <c r="E53" s="571" t="s">
        <v>195</v>
      </c>
      <c r="F53" s="567">
        <f t="shared" si="16"/>
        <v>80</v>
      </c>
      <c r="G53" s="560"/>
      <c r="H53" s="568" t="s">
        <v>218</v>
      </c>
      <c r="I53" s="567">
        <f t="shared" si="17"/>
        <v>80</v>
      </c>
      <c r="J53" s="562"/>
      <c r="K53" s="568" t="s">
        <v>218</v>
      </c>
      <c r="L53" s="567">
        <f t="shared" si="18"/>
        <v>80</v>
      </c>
      <c r="M53" s="562"/>
      <c r="N53" s="568" t="s">
        <v>218</v>
      </c>
      <c r="O53" s="567">
        <f t="shared" si="19"/>
        <v>80</v>
      </c>
      <c r="P53" s="534"/>
      <c r="Q53" s="568" t="s">
        <v>218</v>
      </c>
      <c r="R53" s="567">
        <f t="shared" si="20"/>
        <v>80</v>
      </c>
      <c r="S53" s="562"/>
      <c r="T53" s="568" t="s">
        <v>218</v>
      </c>
      <c r="U53" s="567">
        <f t="shared" si="21"/>
        <v>80</v>
      </c>
      <c r="V53" s="562"/>
    </row>
    <row r="54" spans="1:22" x14ac:dyDescent="0.25">
      <c r="A54" s="569" t="s">
        <v>84</v>
      </c>
      <c r="B54" s="570" t="s">
        <v>0</v>
      </c>
      <c r="C54" s="570" t="s">
        <v>202</v>
      </c>
      <c r="D54" s="529">
        <v>1300</v>
      </c>
      <c r="E54" s="571" t="s">
        <v>197</v>
      </c>
      <c r="F54" s="567">
        <f t="shared" si="16"/>
        <v>108.33333333333333</v>
      </c>
      <c r="G54" s="560"/>
      <c r="H54" s="568" t="s">
        <v>218</v>
      </c>
      <c r="I54" s="567">
        <f t="shared" si="17"/>
        <v>108.33333333333333</v>
      </c>
      <c r="J54" s="562"/>
      <c r="K54" s="568" t="s">
        <v>218</v>
      </c>
      <c r="L54" s="567">
        <f t="shared" si="18"/>
        <v>108.33333333333333</v>
      </c>
      <c r="M54" s="562"/>
      <c r="N54" s="568" t="s">
        <v>219</v>
      </c>
      <c r="O54" s="567">
        <f t="shared" si="19"/>
        <v>0</v>
      </c>
      <c r="P54" s="534"/>
      <c r="Q54" s="568" t="s">
        <v>218</v>
      </c>
      <c r="R54" s="567">
        <f t="shared" si="20"/>
        <v>108.33333333333333</v>
      </c>
      <c r="S54" s="562"/>
      <c r="T54" s="568" t="s">
        <v>218</v>
      </c>
      <c r="U54" s="567">
        <f t="shared" si="21"/>
        <v>108.33333333333333</v>
      </c>
      <c r="V54" s="562"/>
    </row>
    <row r="55" spans="1:22" x14ac:dyDescent="0.25">
      <c r="A55" s="569" t="s">
        <v>85</v>
      </c>
      <c r="B55" s="570" t="s">
        <v>0</v>
      </c>
      <c r="C55" s="570" t="s">
        <v>202</v>
      </c>
      <c r="D55" s="529">
        <v>1800</v>
      </c>
      <c r="E55" s="571" t="s">
        <v>197</v>
      </c>
      <c r="F55" s="567">
        <f t="shared" si="16"/>
        <v>150</v>
      </c>
      <c r="G55" s="560"/>
      <c r="H55" s="568" t="s">
        <v>218</v>
      </c>
      <c r="I55" s="567">
        <f t="shared" si="17"/>
        <v>150</v>
      </c>
      <c r="J55" s="562"/>
      <c r="K55" s="568" t="s">
        <v>218</v>
      </c>
      <c r="L55" s="567">
        <f t="shared" si="18"/>
        <v>150</v>
      </c>
      <c r="M55" s="562"/>
      <c r="N55" s="568" t="s">
        <v>219</v>
      </c>
      <c r="O55" s="567">
        <f t="shared" si="19"/>
        <v>0</v>
      </c>
      <c r="P55" s="534"/>
      <c r="Q55" s="568" t="s">
        <v>218</v>
      </c>
      <c r="R55" s="567">
        <f t="shared" si="20"/>
        <v>150</v>
      </c>
      <c r="S55" s="562"/>
      <c r="T55" s="568" t="s">
        <v>218</v>
      </c>
      <c r="U55" s="567">
        <f t="shared" si="21"/>
        <v>150</v>
      </c>
      <c r="V55" s="562"/>
    </row>
    <row r="56" spans="1:22" x14ac:dyDescent="0.25">
      <c r="A56" s="569" t="s">
        <v>86</v>
      </c>
      <c r="B56" s="570" t="s">
        <v>0</v>
      </c>
      <c r="C56" s="570" t="s">
        <v>205</v>
      </c>
      <c r="D56" s="529">
        <v>100</v>
      </c>
      <c r="E56" s="571" t="s">
        <v>195</v>
      </c>
      <c r="F56" s="567">
        <f t="shared" si="16"/>
        <v>100</v>
      </c>
      <c r="G56" s="560" t="s">
        <v>220</v>
      </c>
      <c r="H56" s="572" t="s">
        <v>218</v>
      </c>
      <c r="I56" s="567">
        <f t="shared" si="17"/>
        <v>100</v>
      </c>
      <c r="J56" s="562"/>
      <c r="K56" s="572" t="s">
        <v>218</v>
      </c>
      <c r="L56" s="567">
        <f t="shared" si="18"/>
        <v>100</v>
      </c>
      <c r="M56" s="562"/>
      <c r="N56" s="568" t="s">
        <v>219</v>
      </c>
      <c r="O56" s="567">
        <f t="shared" si="19"/>
        <v>0</v>
      </c>
      <c r="P56" s="534"/>
      <c r="Q56" s="572" t="s">
        <v>218</v>
      </c>
      <c r="R56" s="567">
        <f t="shared" si="20"/>
        <v>100</v>
      </c>
      <c r="S56" s="562"/>
      <c r="T56" s="572" t="s">
        <v>218</v>
      </c>
      <c r="U56" s="567">
        <f t="shared" si="21"/>
        <v>100</v>
      </c>
      <c r="V56" s="562"/>
    </row>
    <row r="57" spans="1:22" x14ac:dyDescent="0.25">
      <c r="A57" s="569" t="s">
        <v>87</v>
      </c>
      <c r="B57" s="570" t="s">
        <v>0</v>
      </c>
      <c r="C57" s="570" t="s">
        <v>205</v>
      </c>
      <c r="D57" s="529">
        <v>100</v>
      </c>
      <c r="E57" s="571" t="s">
        <v>195</v>
      </c>
      <c r="F57" s="567">
        <f t="shared" si="16"/>
        <v>100</v>
      </c>
      <c r="G57" s="560"/>
      <c r="H57" s="568" t="s">
        <v>218</v>
      </c>
      <c r="I57" s="567">
        <f t="shared" si="17"/>
        <v>100</v>
      </c>
      <c r="J57" s="562"/>
      <c r="K57" s="568" t="s">
        <v>218</v>
      </c>
      <c r="L57" s="567">
        <f t="shared" si="18"/>
        <v>100</v>
      </c>
      <c r="M57" s="562"/>
      <c r="N57" s="568" t="s">
        <v>219</v>
      </c>
      <c r="O57" s="567">
        <f t="shared" si="19"/>
        <v>0</v>
      </c>
      <c r="P57" s="534"/>
      <c r="Q57" s="568" t="s">
        <v>218</v>
      </c>
      <c r="R57" s="567">
        <f t="shared" si="20"/>
        <v>100</v>
      </c>
      <c r="S57" s="562"/>
      <c r="T57" s="568" t="s">
        <v>218</v>
      </c>
      <c r="U57" s="567">
        <f t="shared" si="21"/>
        <v>100</v>
      </c>
      <c r="V57" s="562"/>
    </row>
    <row r="58" spans="1:22" x14ac:dyDescent="0.25">
      <c r="A58" s="569" t="s">
        <v>88</v>
      </c>
      <c r="B58" s="570" t="s">
        <v>0</v>
      </c>
      <c r="C58" s="570" t="s">
        <v>205</v>
      </c>
      <c r="D58" s="529">
        <v>50</v>
      </c>
      <c r="E58" s="571" t="s">
        <v>195</v>
      </c>
      <c r="F58" s="567">
        <f t="shared" si="16"/>
        <v>50</v>
      </c>
      <c r="G58" s="560"/>
      <c r="H58" s="568" t="s">
        <v>218</v>
      </c>
      <c r="I58" s="567">
        <f t="shared" si="17"/>
        <v>50</v>
      </c>
      <c r="J58" s="562"/>
      <c r="K58" s="568" t="s">
        <v>218</v>
      </c>
      <c r="L58" s="567">
        <f t="shared" si="18"/>
        <v>50</v>
      </c>
      <c r="M58" s="562"/>
      <c r="N58" s="568" t="s">
        <v>218</v>
      </c>
      <c r="O58" s="567">
        <f t="shared" si="19"/>
        <v>50</v>
      </c>
      <c r="P58" s="534"/>
      <c r="Q58" s="568" t="s">
        <v>218</v>
      </c>
      <c r="R58" s="567">
        <f t="shared" si="20"/>
        <v>50</v>
      </c>
      <c r="S58" s="562"/>
      <c r="T58" s="568" t="s">
        <v>218</v>
      </c>
      <c r="U58" s="567">
        <f t="shared" si="21"/>
        <v>50</v>
      </c>
      <c r="V58" s="562"/>
    </row>
    <row r="59" spans="1:22" x14ac:dyDescent="0.25">
      <c r="A59" s="569" t="s">
        <v>226</v>
      </c>
      <c r="B59" s="570" t="s">
        <v>0</v>
      </c>
      <c r="C59" s="570" t="s">
        <v>202</v>
      </c>
      <c r="D59" s="529">
        <v>200</v>
      </c>
      <c r="E59" s="571" t="s">
        <v>197</v>
      </c>
      <c r="F59" s="567">
        <f t="shared" si="16"/>
        <v>16.666666666666668</v>
      </c>
      <c r="G59" s="538"/>
      <c r="H59" s="568" t="s">
        <v>219</v>
      </c>
      <c r="I59" s="567">
        <f t="shared" si="17"/>
        <v>0</v>
      </c>
      <c r="J59" s="562"/>
      <c r="K59" s="568" t="s">
        <v>219</v>
      </c>
      <c r="L59" s="567">
        <f t="shared" si="18"/>
        <v>0</v>
      </c>
      <c r="M59" s="562"/>
      <c r="N59" s="568" t="s">
        <v>219</v>
      </c>
      <c r="O59" s="567">
        <f t="shared" si="19"/>
        <v>0</v>
      </c>
      <c r="P59" s="534"/>
      <c r="Q59" s="568" t="s">
        <v>219</v>
      </c>
      <c r="R59" s="567">
        <f t="shared" si="20"/>
        <v>0</v>
      </c>
      <c r="S59" s="562"/>
      <c r="T59" s="568" t="s">
        <v>219</v>
      </c>
      <c r="U59" s="567">
        <f t="shared" si="21"/>
        <v>0</v>
      </c>
      <c r="V59" s="562"/>
    </row>
    <row r="60" spans="1:22" x14ac:dyDescent="0.25">
      <c r="A60" s="569" t="s">
        <v>227</v>
      </c>
      <c r="B60" s="570" t="s">
        <v>0</v>
      </c>
      <c r="C60" s="570" t="s">
        <v>202</v>
      </c>
      <c r="D60" s="529">
        <v>0</v>
      </c>
      <c r="E60" s="571" t="s">
        <v>197</v>
      </c>
      <c r="F60" s="567">
        <f t="shared" si="16"/>
        <v>0</v>
      </c>
      <c r="G60" s="538"/>
      <c r="H60" s="568" t="s">
        <v>219</v>
      </c>
      <c r="I60" s="567">
        <f t="shared" si="17"/>
        <v>0</v>
      </c>
      <c r="J60" s="562"/>
      <c r="K60" s="568" t="s">
        <v>219</v>
      </c>
      <c r="L60" s="567">
        <f t="shared" si="18"/>
        <v>0</v>
      </c>
      <c r="M60" s="562"/>
      <c r="N60" s="568" t="s">
        <v>219</v>
      </c>
      <c r="O60" s="567">
        <f t="shared" si="19"/>
        <v>0</v>
      </c>
      <c r="P60" s="534"/>
      <c r="Q60" s="568" t="s">
        <v>219</v>
      </c>
      <c r="R60" s="567">
        <f t="shared" si="20"/>
        <v>0</v>
      </c>
      <c r="S60" s="562"/>
      <c r="T60" s="568" t="s">
        <v>219</v>
      </c>
      <c r="U60" s="567">
        <f t="shared" si="21"/>
        <v>0</v>
      </c>
      <c r="V60" s="562"/>
    </row>
    <row r="61" spans="1:22" x14ac:dyDescent="0.25">
      <c r="A61" s="569" t="s">
        <v>89</v>
      </c>
      <c r="B61" s="570" t="s">
        <v>0</v>
      </c>
      <c r="C61" s="570" t="s">
        <v>203</v>
      </c>
      <c r="D61" s="529">
        <v>20.58</v>
      </c>
      <c r="E61" s="571" t="s">
        <v>195</v>
      </c>
      <c r="F61" s="567">
        <f t="shared" si="16"/>
        <v>20.58</v>
      </c>
      <c r="G61" s="560" t="s">
        <v>220</v>
      </c>
      <c r="H61" s="572" t="s">
        <v>218</v>
      </c>
      <c r="I61" s="567">
        <f t="shared" si="17"/>
        <v>20.58</v>
      </c>
      <c r="J61" s="562"/>
      <c r="K61" s="572" t="s">
        <v>218</v>
      </c>
      <c r="L61" s="567">
        <f t="shared" si="18"/>
        <v>20.58</v>
      </c>
      <c r="M61" s="562"/>
      <c r="N61" s="568" t="s">
        <v>218</v>
      </c>
      <c r="O61" s="567">
        <f t="shared" si="19"/>
        <v>20.58</v>
      </c>
      <c r="P61" s="534"/>
      <c r="Q61" s="568" t="s">
        <v>218</v>
      </c>
      <c r="R61" s="567">
        <f t="shared" si="20"/>
        <v>20.58</v>
      </c>
      <c r="S61" s="562"/>
      <c r="T61" s="568" t="s">
        <v>218</v>
      </c>
      <c r="U61" s="567">
        <f t="shared" si="21"/>
        <v>20.58</v>
      </c>
      <c r="V61" s="562"/>
    </row>
    <row r="62" spans="1:22" x14ac:dyDescent="0.25">
      <c r="A62" s="573" t="s">
        <v>228</v>
      </c>
      <c r="B62" s="570" t="s">
        <v>0</v>
      </c>
      <c r="C62" s="570" t="s">
        <v>204</v>
      </c>
      <c r="D62" s="529">
        <v>0</v>
      </c>
      <c r="E62" s="571" t="s">
        <v>197</v>
      </c>
      <c r="F62" s="567">
        <f t="shared" si="16"/>
        <v>0</v>
      </c>
      <c r="G62" s="538"/>
      <c r="H62" s="568" t="s">
        <v>219</v>
      </c>
      <c r="I62" s="567">
        <f t="shared" si="17"/>
        <v>0</v>
      </c>
      <c r="J62" s="562"/>
      <c r="K62" s="568" t="s">
        <v>219</v>
      </c>
      <c r="L62" s="567">
        <f t="shared" si="18"/>
        <v>0</v>
      </c>
      <c r="M62" s="562"/>
      <c r="N62" s="568" t="s">
        <v>219</v>
      </c>
      <c r="O62" s="567">
        <f t="shared" si="19"/>
        <v>0</v>
      </c>
      <c r="P62" s="534"/>
      <c r="Q62" s="568" t="s">
        <v>219</v>
      </c>
      <c r="R62" s="567">
        <f t="shared" si="20"/>
        <v>0</v>
      </c>
      <c r="S62" s="562"/>
      <c r="T62" s="568" t="s">
        <v>219</v>
      </c>
      <c r="U62" s="567">
        <f t="shared" si="21"/>
        <v>0</v>
      </c>
      <c r="V62" s="562"/>
    </row>
    <row r="63" spans="1:22" x14ac:dyDescent="0.25">
      <c r="A63" s="573" t="s">
        <v>229</v>
      </c>
      <c r="B63" s="570" t="s">
        <v>0</v>
      </c>
      <c r="C63" s="570" t="s">
        <v>204</v>
      </c>
      <c r="D63" s="529">
        <v>0</v>
      </c>
      <c r="E63" s="571" t="s">
        <v>197</v>
      </c>
      <c r="F63" s="567">
        <f t="shared" si="16"/>
        <v>0</v>
      </c>
      <c r="G63" s="538"/>
      <c r="H63" s="568" t="s">
        <v>219</v>
      </c>
      <c r="I63" s="567">
        <f t="shared" si="17"/>
        <v>0</v>
      </c>
      <c r="J63" s="562"/>
      <c r="K63" s="568" t="s">
        <v>219</v>
      </c>
      <c r="L63" s="567">
        <f t="shared" si="18"/>
        <v>0</v>
      </c>
      <c r="M63" s="562"/>
      <c r="N63" s="568" t="s">
        <v>219</v>
      </c>
      <c r="O63" s="567">
        <f t="shared" si="19"/>
        <v>0</v>
      </c>
      <c r="P63" s="534"/>
      <c r="Q63" s="568" t="s">
        <v>219</v>
      </c>
      <c r="R63" s="567">
        <f t="shared" si="20"/>
        <v>0</v>
      </c>
      <c r="S63" s="562"/>
      <c r="T63" s="568" t="s">
        <v>219</v>
      </c>
      <c r="U63" s="567">
        <f t="shared" si="21"/>
        <v>0</v>
      </c>
      <c r="V63" s="562"/>
    </row>
    <row r="64" spans="1:22" x14ac:dyDescent="0.25">
      <c r="A64" s="573" t="s">
        <v>230</v>
      </c>
      <c r="B64" s="570" t="s">
        <v>0</v>
      </c>
      <c r="C64" s="570" t="s">
        <v>204</v>
      </c>
      <c r="D64" s="529">
        <v>0</v>
      </c>
      <c r="E64" s="571" t="s">
        <v>197</v>
      </c>
      <c r="F64" s="567">
        <f t="shared" si="16"/>
        <v>0</v>
      </c>
      <c r="G64" s="538"/>
      <c r="H64" s="568" t="s">
        <v>219</v>
      </c>
      <c r="I64" s="567">
        <f t="shared" si="17"/>
        <v>0</v>
      </c>
      <c r="J64" s="562"/>
      <c r="K64" s="568" t="s">
        <v>219</v>
      </c>
      <c r="L64" s="567">
        <f t="shared" si="18"/>
        <v>0</v>
      </c>
      <c r="M64" s="562"/>
      <c r="N64" s="568" t="s">
        <v>219</v>
      </c>
      <c r="O64" s="567">
        <f t="shared" si="19"/>
        <v>0</v>
      </c>
      <c r="P64" s="534"/>
      <c r="Q64" s="568" t="s">
        <v>219</v>
      </c>
      <c r="R64" s="567">
        <f t="shared" si="20"/>
        <v>0</v>
      </c>
      <c r="S64" s="562"/>
      <c r="T64" s="568" t="s">
        <v>219</v>
      </c>
      <c r="U64" s="567">
        <f t="shared" si="21"/>
        <v>0</v>
      </c>
      <c r="V64" s="562"/>
    </row>
    <row r="65" spans="1:22" x14ac:dyDescent="0.25">
      <c r="A65" s="573" t="s">
        <v>231</v>
      </c>
      <c r="B65" s="570" t="s">
        <v>0</v>
      </c>
      <c r="C65" s="570" t="s">
        <v>204</v>
      </c>
      <c r="D65" s="529">
        <v>0</v>
      </c>
      <c r="E65" s="571" t="s">
        <v>195</v>
      </c>
      <c r="F65" s="567">
        <f t="shared" si="16"/>
        <v>0</v>
      </c>
      <c r="G65" s="538"/>
      <c r="H65" s="568" t="s">
        <v>219</v>
      </c>
      <c r="I65" s="567">
        <f t="shared" si="17"/>
        <v>0</v>
      </c>
      <c r="J65" s="562"/>
      <c r="K65" s="568" t="s">
        <v>219</v>
      </c>
      <c r="L65" s="567">
        <f t="shared" si="18"/>
        <v>0</v>
      </c>
      <c r="M65" s="562"/>
      <c r="N65" s="568" t="s">
        <v>219</v>
      </c>
      <c r="O65" s="567">
        <f t="shared" si="19"/>
        <v>0</v>
      </c>
      <c r="P65" s="534"/>
      <c r="Q65" s="568" t="s">
        <v>219</v>
      </c>
      <c r="R65" s="567">
        <f t="shared" si="20"/>
        <v>0</v>
      </c>
      <c r="S65" s="562"/>
      <c r="T65" s="568" t="s">
        <v>219</v>
      </c>
      <c r="U65" s="567">
        <f t="shared" si="21"/>
        <v>0</v>
      </c>
      <c r="V65" s="562"/>
    </row>
    <row r="66" spans="1:22" x14ac:dyDescent="0.25">
      <c r="A66" s="573" t="s">
        <v>232</v>
      </c>
      <c r="B66" s="570" t="s">
        <v>0</v>
      </c>
      <c r="C66" s="570" t="s">
        <v>204</v>
      </c>
      <c r="D66" s="529">
        <v>0</v>
      </c>
      <c r="E66" s="571" t="s">
        <v>197</v>
      </c>
      <c r="F66" s="567">
        <f t="shared" si="16"/>
        <v>0</v>
      </c>
      <c r="G66" s="538"/>
      <c r="H66" s="568" t="s">
        <v>219</v>
      </c>
      <c r="I66" s="567">
        <f t="shared" si="17"/>
        <v>0</v>
      </c>
      <c r="J66" s="562"/>
      <c r="K66" s="568" t="s">
        <v>219</v>
      </c>
      <c r="L66" s="567">
        <f t="shared" si="18"/>
        <v>0</v>
      </c>
      <c r="M66" s="562"/>
      <c r="N66" s="568" t="s">
        <v>219</v>
      </c>
      <c r="O66" s="567">
        <f t="shared" si="19"/>
        <v>0</v>
      </c>
      <c r="P66" s="534"/>
      <c r="Q66" s="568" t="s">
        <v>219</v>
      </c>
      <c r="R66" s="567">
        <f t="shared" si="20"/>
        <v>0</v>
      </c>
      <c r="S66" s="562"/>
      <c r="T66" s="568" t="s">
        <v>219</v>
      </c>
      <c r="U66" s="567">
        <f t="shared" si="21"/>
        <v>0</v>
      </c>
      <c r="V66" s="562"/>
    </row>
    <row r="67" spans="1:22" x14ac:dyDescent="0.25">
      <c r="A67" s="574" t="s">
        <v>90</v>
      </c>
      <c r="B67" s="570" t="s">
        <v>0</v>
      </c>
      <c r="C67" s="570" t="s">
        <v>204</v>
      </c>
      <c r="D67" s="529">
        <v>80</v>
      </c>
      <c r="E67" s="571" t="s">
        <v>197</v>
      </c>
      <c r="F67" s="567">
        <f t="shared" si="16"/>
        <v>6.666666666666667</v>
      </c>
      <c r="G67" s="560"/>
      <c r="H67" s="568" t="s">
        <v>218</v>
      </c>
      <c r="I67" s="567">
        <f t="shared" si="17"/>
        <v>6.666666666666667</v>
      </c>
      <c r="J67" s="562"/>
      <c r="K67" s="568" t="s">
        <v>218</v>
      </c>
      <c r="L67" s="567">
        <f t="shared" si="18"/>
        <v>6.666666666666667</v>
      </c>
      <c r="M67" s="562"/>
      <c r="N67" s="568" t="s">
        <v>218</v>
      </c>
      <c r="O67" s="567">
        <f t="shared" si="19"/>
        <v>6.666666666666667</v>
      </c>
      <c r="P67" s="534"/>
      <c r="Q67" s="568" t="s">
        <v>218</v>
      </c>
      <c r="R67" s="567">
        <f t="shared" si="20"/>
        <v>6.666666666666667</v>
      </c>
      <c r="S67" s="562"/>
      <c r="T67" s="568" t="s">
        <v>218</v>
      </c>
      <c r="U67" s="567">
        <f t="shared" si="21"/>
        <v>6.666666666666667</v>
      </c>
      <c r="V67" s="562"/>
    </row>
    <row r="68" spans="1:22" x14ac:dyDescent="0.25">
      <c r="A68" s="574" t="s">
        <v>91</v>
      </c>
      <c r="B68" s="570" t="s">
        <v>0</v>
      </c>
      <c r="C68" s="570" t="s">
        <v>204</v>
      </c>
      <c r="D68" s="529">
        <v>50</v>
      </c>
      <c r="E68" s="571" t="s">
        <v>197</v>
      </c>
      <c r="F68" s="567">
        <f t="shared" si="16"/>
        <v>4.166666666666667</v>
      </c>
      <c r="G68" s="560"/>
      <c r="H68" s="568" t="s">
        <v>218</v>
      </c>
      <c r="I68" s="567">
        <f t="shared" si="17"/>
        <v>4.166666666666667</v>
      </c>
      <c r="J68" s="562"/>
      <c r="K68" s="568" t="s">
        <v>218</v>
      </c>
      <c r="L68" s="567">
        <f t="shared" si="18"/>
        <v>4.166666666666667</v>
      </c>
      <c r="M68" s="562"/>
      <c r="N68" s="568" t="s">
        <v>218</v>
      </c>
      <c r="O68" s="567">
        <f t="shared" si="19"/>
        <v>4.166666666666667</v>
      </c>
      <c r="P68" s="534"/>
      <c r="Q68" s="568" t="s">
        <v>218</v>
      </c>
      <c r="R68" s="567">
        <f t="shared" si="20"/>
        <v>4.166666666666667</v>
      </c>
      <c r="S68" s="562"/>
      <c r="T68" s="568" t="s">
        <v>218</v>
      </c>
      <c r="U68" s="567">
        <f t="shared" si="21"/>
        <v>4.166666666666667</v>
      </c>
      <c r="V68" s="562"/>
    </row>
    <row r="69" spans="1:22" x14ac:dyDescent="0.25">
      <c r="A69" s="574" t="s">
        <v>92</v>
      </c>
      <c r="B69" s="570" t="s">
        <v>0</v>
      </c>
      <c r="C69" s="570" t="s">
        <v>204</v>
      </c>
      <c r="D69" s="529">
        <v>50</v>
      </c>
      <c r="E69" s="571" t="s">
        <v>195</v>
      </c>
      <c r="F69" s="567">
        <f t="shared" si="16"/>
        <v>50</v>
      </c>
      <c r="G69" s="560"/>
      <c r="H69" s="568" t="s">
        <v>218</v>
      </c>
      <c r="I69" s="567">
        <f t="shared" si="17"/>
        <v>50</v>
      </c>
      <c r="J69" s="562"/>
      <c r="K69" s="568" t="s">
        <v>218</v>
      </c>
      <c r="L69" s="567">
        <f t="shared" si="18"/>
        <v>50</v>
      </c>
      <c r="M69" s="562"/>
      <c r="N69" s="568" t="s">
        <v>218</v>
      </c>
      <c r="O69" s="567">
        <f t="shared" si="19"/>
        <v>50</v>
      </c>
      <c r="P69" s="534"/>
      <c r="Q69" s="568" t="s">
        <v>218</v>
      </c>
      <c r="R69" s="567">
        <f t="shared" si="20"/>
        <v>50</v>
      </c>
      <c r="S69" s="562"/>
      <c r="T69" s="568" t="s">
        <v>218</v>
      </c>
      <c r="U69" s="567">
        <f t="shared" si="21"/>
        <v>50</v>
      </c>
      <c r="V69" s="562"/>
    </row>
    <row r="70" spans="1:22" x14ac:dyDescent="0.25">
      <c r="A70" s="575" t="s">
        <v>93</v>
      </c>
      <c r="B70" s="570" t="s">
        <v>0</v>
      </c>
      <c r="C70" s="570" t="s">
        <v>204</v>
      </c>
      <c r="D70" s="529">
        <v>50</v>
      </c>
      <c r="E70" s="571" t="s">
        <v>197</v>
      </c>
      <c r="F70" s="567">
        <f t="shared" si="16"/>
        <v>4.166666666666667</v>
      </c>
      <c r="G70" s="560"/>
      <c r="H70" s="568" t="s">
        <v>218</v>
      </c>
      <c r="I70" s="567">
        <f t="shared" si="17"/>
        <v>4.166666666666667</v>
      </c>
      <c r="J70" s="562"/>
      <c r="K70" s="568" t="s">
        <v>218</v>
      </c>
      <c r="L70" s="567">
        <f t="shared" si="18"/>
        <v>4.166666666666667</v>
      </c>
      <c r="M70" s="562"/>
      <c r="N70" s="568" t="s">
        <v>218</v>
      </c>
      <c r="O70" s="567">
        <f t="shared" si="19"/>
        <v>4.166666666666667</v>
      </c>
      <c r="P70" s="534"/>
      <c r="Q70" s="568" t="s">
        <v>218</v>
      </c>
      <c r="R70" s="567">
        <f t="shared" si="20"/>
        <v>4.166666666666667</v>
      </c>
      <c r="S70" s="562"/>
      <c r="T70" s="568" t="s">
        <v>218</v>
      </c>
      <c r="U70" s="567">
        <f t="shared" si="21"/>
        <v>4.166666666666667</v>
      </c>
      <c r="V70" s="562"/>
    </row>
    <row r="71" spans="1:22" x14ac:dyDescent="0.25">
      <c r="A71" s="575" t="s">
        <v>94</v>
      </c>
      <c r="B71" s="570" t="s">
        <v>0</v>
      </c>
      <c r="C71" s="570" t="s">
        <v>204</v>
      </c>
      <c r="D71" s="529">
        <v>160</v>
      </c>
      <c r="E71" s="571" t="s">
        <v>197</v>
      </c>
      <c r="F71" s="567">
        <f t="shared" si="16"/>
        <v>13.333333333333334</v>
      </c>
      <c r="G71" s="560"/>
      <c r="H71" s="568" t="s">
        <v>218</v>
      </c>
      <c r="I71" s="567">
        <f t="shared" si="17"/>
        <v>13.333333333333334</v>
      </c>
      <c r="J71" s="562"/>
      <c r="K71" s="568" t="s">
        <v>218</v>
      </c>
      <c r="L71" s="567">
        <f t="shared" si="18"/>
        <v>13.333333333333334</v>
      </c>
      <c r="M71" s="562"/>
      <c r="N71" s="568" t="s">
        <v>218</v>
      </c>
      <c r="O71" s="567">
        <f t="shared" si="19"/>
        <v>13.333333333333334</v>
      </c>
      <c r="P71" s="534"/>
      <c r="Q71" s="568" t="s">
        <v>218</v>
      </c>
      <c r="R71" s="567">
        <f t="shared" si="20"/>
        <v>13.333333333333334</v>
      </c>
      <c r="S71" s="562"/>
      <c r="T71" s="568" t="s">
        <v>218</v>
      </c>
      <c r="U71" s="567">
        <f t="shared" si="21"/>
        <v>13.333333333333334</v>
      </c>
      <c r="V71" s="562"/>
    </row>
    <row r="72" spans="1:22" x14ac:dyDescent="0.25">
      <c r="A72" s="575" t="s">
        <v>95</v>
      </c>
      <c r="B72" s="570" t="s">
        <v>0</v>
      </c>
      <c r="C72" s="570" t="s">
        <v>204</v>
      </c>
      <c r="D72" s="529">
        <v>50</v>
      </c>
      <c r="E72" s="571" t="s">
        <v>195</v>
      </c>
      <c r="F72" s="567">
        <f t="shared" si="16"/>
        <v>50</v>
      </c>
      <c r="G72" s="560"/>
      <c r="H72" s="568" t="s">
        <v>218</v>
      </c>
      <c r="I72" s="567">
        <f t="shared" si="17"/>
        <v>50</v>
      </c>
      <c r="J72" s="562"/>
      <c r="K72" s="568" t="s">
        <v>218</v>
      </c>
      <c r="L72" s="567">
        <f t="shared" si="18"/>
        <v>50</v>
      </c>
      <c r="M72" s="562"/>
      <c r="N72" s="568" t="s">
        <v>218</v>
      </c>
      <c r="O72" s="567">
        <f t="shared" si="19"/>
        <v>50</v>
      </c>
      <c r="P72" s="534"/>
      <c r="Q72" s="568" t="s">
        <v>218</v>
      </c>
      <c r="R72" s="567">
        <f t="shared" si="20"/>
        <v>50</v>
      </c>
      <c r="S72" s="562"/>
      <c r="T72" s="568" t="s">
        <v>218</v>
      </c>
      <c r="U72" s="567">
        <f t="shared" si="21"/>
        <v>50</v>
      </c>
      <c r="V72" s="562"/>
    </row>
    <row r="73" spans="1:22" x14ac:dyDescent="0.25">
      <c r="A73" s="569" t="s">
        <v>97</v>
      </c>
      <c r="B73" s="570" t="s">
        <v>0</v>
      </c>
      <c r="C73" s="570" t="s">
        <v>206</v>
      </c>
      <c r="D73" s="529">
        <v>230</v>
      </c>
      <c r="E73" s="571" t="s">
        <v>197</v>
      </c>
      <c r="F73" s="567">
        <f t="shared" ref="F73:F104" si="22">IF($E73="MENSUAL",$D73,IF($E73="TRIMESTRAL",$D73/3,IF($E73="SEMESTRAL",$D73/2,IF($E73="ANUAL",$D73/12,IF($E73="BIMENSUAL",$D73/2)))))</f>
        <v>19.166666666666668</v>
      </c>
      <c r="G73" s="560"/>
      <c r="H73" s="568" t="s">
        <v>218</v>
      </c>
      <c r="I73" s="567">
        <f t="shared" ref="I73:I104" si="23">IF($H73="NO",IF($E73="MENSUAL",$D73,IF($E73="TRIMESTRAL",$D73/3,IF($E73="SEMESTRAL",$D73/2,IF($E73="ANUAL",$D73/12,IF($E73="BIMENSUAL",$D73/2))))),0)</f>
        <v>19.166666666666668</v>
      </c>
      <c r="J73" s="562"/>
      <c r="K73" s="568" t="s">
        <v>218</v>
      </c>
      <c r="L73" s="567">
        <f t="shared" si="18"/>
        <v>19.166666666666668</v>
      </c>
      <c r="M73" s="562"/>
      <c r="N73" s="568" t="s">
        <v>218</v>
      </c>
      <c r="O73" s="567">
        <f t="shared" ref="O73:O109" si="24">IF($N73="NO",IF($E73="MENSUAL",$D73,IF($E73="TRIMESTRAL",$D73/3,IF($E73="SEMESTRAL",$D73/2,IF($E73="ANUAL",$D73/12,IF($E73="BIMENSUAL",$D73/2))))),0)</f>
        <v>19.166666666666668</v>
      </c>
      <c r="P73" s="534"/>
      <c r="Q73" s="568" t="s">
        <v>218</v>
      </c>
      <c r="R73" s="567">
        <f t="shared" ref="R73:R104" si="25">IF($Q73="NO",IF($E73="MENSUAL",$D73,IF($E73="TRIMESTRAL",$D73/3,IF($E73="SEMESTRAL",$D73/2,IF($E73="ANUAL",$D73/12,IF($E73="BIMENSUAL",$D73/2))))),0)</f>
        <v>19.166666666666668</v>
      </c>
      <c r="S73" s="562"/>
      <c r="T73" s="568" t="s">
        <v>218</v>
      </c>
      <c r="U73" s="567">
        <f t="shared" ref="U73:U104" si="26">IF($T73="NO",IF($E73="MENSUAL",$D73,IF($E73="TRIMESTRAL",$D73/3,IF($E73="SEMESTRAL",$D73/2,IF($E73="ANUAL",$D73/12,IF($E73="BIMENSUAL",$D73/2))))),0)</f>
        <v>19.166666666666668</v>
      </c>
      <c r="V73" s="562"/>
    </row>
    <row r="74" spans="1:22" x14ac:dyDescent="0.25">
      <c r="A74" s="569" t="s">
        <v>98</v>
      </c>
      <c r="B74" s="570" t="s">
        <v>0</v>
      </c>
      <c r="C74" s="570" t="s">
        <v>206</v>
      </c>
      <c r="D74" s="529">
        <v>20</v>
      </c>
      <c r="E74" s="571" t="s">
        <v>197</v>
      </c>
      <c r="F74" s="567">
        <f t="shared" si="22"/>
        <v>1.6666666666666667</v>
      </c>
      <c r="G74" s="560"/>
      <c r="H74" s="568" t="s">
        <v>218</v>
      </c>
      <c r="I74" s="567">
        <f t="shared" si="23"/>
        <v>1.6666666666666667</v>
      </c>
      <c r="J74" s="562"/>
      <c r="K74" s="568" t="s">
        <v>218</v>
      </c>
      <c r="L74" s="567">
        <f t="shared" si="18"/>
        <v>1.6666666666666667</v>
      </c>
      <c r="M74" s="562"/>
      <c r="N74" s="568" t="s">
        <v>218</v>
      </c>
      <c r="O74" s="567">
        <f t="shared" si="24"/>
        <v>1.6666666666666667</v>
      </c>
      <c r="P74" s="534"/>
      <c r="Q74" s="568" t="s">
        <v>218</v>
      </c>
      <c r="R74" s="567">
        <f t="shared" si="25"/>
        <v>1.6666666666666667</v>
      </c>
      <c r="S74" s="562"/>
      <c r="T74" s="568" t="s">
        <v>218</v>
      </c>
      <c r="U74" s="567">
        <f t="shared" si="26"/>
        <v>1.6666666666666667</v>
      </c>
      <c r="V74" s="562"/>
    </row>
    <row r="75" spans="1:22" x14ac:dyDescent="0.25">
      <c r="A75" s="569" t="s">
        <v>99</v>
      </c>
      <c r="B75" s="570" t="s">
        <v>0</v>
      </c>
      <c r="C75" s="570" t="s">
        <v>206</v>
      </c>
      <c r="D75" s="529">
        <v>20</v>
      </c>
      <c r="E75" s="571" t="s">
        <v>197</v>
      </c>
      <c r="F75" s="567">
        <f t="shared" si="22"/>
        <v>1.6666666666666667</v>
      </c>
      <c r="G75" s="560"/>
      <c r="H75" s="568" t="s">
        <v>218</v>
      </c>
      <c r="I75" s="567">
        <f t="shared" si="23"/>
        <v>1.6666666666666667</v>
      </c>
      <c r="J75" s="562"/>
      <c r="K75" s="568" t="s">
        <v>218</v>
      </c>
      <c r="L75" s="567">
        <f t="shared" si="18"/>
        <v>1.6666666666666667</v>
      </c>
      <c r="M75" s="562"/>
      <c r="N75" s="568" t="s">
        <v>218</v>
      </c>
      <c r="O75" s="567">
        <f t="shared" si="24"/>
        <v>1.6666666666666667</v>
      </c>
      <c r="P75" s="534"/>
      <c r="Q75" s="568" t="s">
        <v>218</v>
      </c>
      <c r="R75" s="567">
        <f t="shared" si="25"/>
        <v>1.6666666666666667</v>
      </c>
      <c r="S75" s="562"/>
      <c r="T75" s="568" t="s">
        <v>218</v>
      </c>
      <c r="U75" s="567">
        <f t="shared" si="26"/>
        <v>1.6666666666666667</v>
      </c>
      <c r="V75" s="562"/>
    </row>
    <row r="76" spans="1:22" x14ac:dyDescent="0.25">
      <c r="A76" s="569" t="s">
        <v>100</v>
      </c>
      <c r="B76" s="570" t="s">
        <v>0</v>
      </c>
      <c r="C76" s="570" t="s">
        <v>206</v>
      </c>
      <c r="D76" s="529">
        <v>20</v>
      </c>
      <c r="E76" s="571" t="s">
        <v>197</v>
      </c>
      <c r="F76" s="567">
        <f t="shared" si="22"/>
        <v>1.6666666666666667</v>
      </c>
      <c r="G76" s="560"/>
      <c r="H76" s="568" t="s">
        <v>218</v>
      </c>
      <c r="I76" s="567">
        <f t="shared" si="23"/>
        <v>1.6666666666666667</v>
      </c>
      <c r="J76" s="562"/>
      <c r="K76" s="568" t="s">
        <v>218</v>
      </c>
      <c r="L76" s="567">
        <f t="shared" si="18"/>
        <v>1.6666666666666667</v>
      </c>
      <c r="M76" s="562"/>
      <c r="N76" s="568" t="s">
        <v>218</v>
      </c>
      <c r="O76" s="567">
        <f t="shared" si="24"/>
        <v>1.6666666666666667</v>
      </c>
      <c r="P76" s="534"/>
      <c r="Q76" s="568" t="s">
        <v>218</v>
      </c>
      <c r="R76" s="567">
        <f t="shared" si="25"/>
        <v>1.6666666666666667</v>
      </c>
      <c r="S76" s="562"/>
      <c r="T76" s="568" t="s">
        <v>218</v>
      </c>
      <c r="U76" s="567">
        <f t="shared" si="26"/>
        <v>1.6666666666666667</v>
      </c>
      <c r="V76" s="562"/>
    </row>
    <row r="77" spans="1:22" x14ac:dyDescent="0.25">
      <c r="A77" s="569" t="s">
        <v>101</v>
      </c>
      <c r="B77" s="570" t="s">
        <v>0</v>
      </c>
      <c r="C77" s="570" t="s">
        <v>206</v>
      </c>
      <c r="D77" s="529">
        <v>20</v>
      </c>
      <c r="E77" s="571" t="s">
        <v>197</v>
      </c>
      <c r="F77" s="567">
        <f t="shared" si="22"/>
        <v>1.6666666666666667</v>
      </c>
      <c r="G77" s="560"/>
      <c r="H77" s="568" t="s">
        <v>218</v>
      </c>
      <c r="I77" s="567">
        <f t="shared" si="23"/>
        <v>1.6666666666666667</v>
      </c>
      <c r="J77" s="562"/>
      <c r="K77" s="568" t="s">
        <v>218</v>
      </c>
      <c r="L77" s="567">
        <f t="shared" si="18"/>
        <v>1.6666666666666667</v>
      </c>
      <c r="M77" s="562"/>
      <c r="N77" s="568" t="s">
        <v>218</v>
      </c>
      <c r="O77" s="567">
        <f t="shared" si="24"/>
        <v>1.6666666666666667</v>
      </c>
      <c r="P77" s="534"/>
      <c r="Q77" s="568" t="s">
        <v>218</v>
      </c>
      <c r="R77" s="567">
        <f t="shared" si="25"/>
        <v>1.6666666666666667</v>
      </c>
      <c r="S77" s="562"/>
      <c r="T77" s="568" t="s">
        <v>218</v>
      </c>
      <c r="U77" s="567">
        <f t="shared" si="26"/>
        <v>1.6666666666666667</v>
      </c>
      <c r="V77" s="562"/>
    </row>
    <row r="78" spans="1:22" x14ac:dyDescent="0.25">
      <c r="A78" s="569" t="s">
        <v>102</v>
      </c>
      <c r="B78" s="570" t="s">
        <v>0</v>
      </c>
      <c r="C78" s="570" t="s">
        <v>206</v>
      </c>
      <c r="D78" s="529">
        <v>350</v>
      </c>
      <c r="E78" s="571" t="s">
        <v>197</v>
      </c>
      <c r="F78" s="567">
        <f t="shared" si="22"/>
        <v>29.166666666666668</v>
      </c>
      <c r="G78" s="560"/>
      <c r="H78" s="568" t="s">
        <v>218</v>
      </c>
      <c r="I78" s="567">
        <f t="shared" si="23"/>
        <v>29.166666666666668</v>
      </c>
      <c r="J78" s="562"/>
      <c r="K78" s="568" t="s">
        <v>218</v>
      </c>
      <c r="L78" s="567">
        <f t="shared" si="18"/>
        <v>29.166666666666668</v>
      </c>
      <c r="M78" s="562"/>
      <c r="N78" s="568" t="s">
        <v>218</v>
      </c>
      <c r="O78" s="567">
        <f t="shared" si="24"/>
        <v>29.166666666666668</v>
      </c>
      <c r="P78" s="534"/>
      <c r="Q78" s="568" t="s">
        <v>218</v>
      </c>
      <c r="R78" s="567">
        <f t="shared" si="25"/>
        <v>29.166666666666668</v>
      </c>
      <c r="S78" s="562"/>
      <c r="T78" s="568" t="s">
        <v>218</v>
      </c>
      <c r="U78" s="567">
        <f t="shared" si="26"/>
        <v>29.166666666666668</v>
      </c>
      <c r="V78" s="562"/>
    </row>
    <row r="79" spans="1:22" x14ac:dyDescent="0.25">
      <c r="A79" s="569" t="s">
        <v>115</v>
      </c>
      <c r="B79" s="570" t="s">
        <v>0</v>
      </c>
      <c r="C79" s="570" t="s">
        <v>206</v>
      </c>
      <c r="D79" s="529">
        <v>25</v>
      </c>
      <c r="E79" s="571" t="s">
        <v>197</v>
      </c>
      <c r="F79" s="567">
        <f t="shared" si="22"/>
        <v>2.0833333333333335</v>
      </c>
      <c r="G79" s="560"/>
      <c r="H79" s="568" t="s">
        <v>218</v>
      </c>
      <c r="I79" s="567">
        <f t="shared" si="23"/>
        <v>2.0833333333333335</v>
      </c>
      <c r="J79" s="562"/>
      <c r="K79" s="568" t="s">
        <v>218</v>
      </c>
      <c r="L79" s="567">
        <f t="shared" si="18"/>
        <v>2.0833333333333335</v>
      </c>
      <c r="M79" s="562"/>
      <c r="N79" s="568" t="s">
        <v>218</v>
      </c>
      <c r="O79" s="567">
        <f t="shared" si="24"/>
        <v>2.0833333333333335</v>
      </c>
      <c r="P79" s="534"/>
      <c r="Q79" s="568" t="s">
        <v>218</v>
      </c>
      <c r="R79" s="567">
        <f t="shared" si="25"/>
        <v>2.0833333333333335</v>
      </c>
      <c r="S79" s="562"/>
      <c r="T79" s="568" t="s">
        <v>218</v>
      </c>
      <c r="U79" s="567">
        <f t="shared" si="26"/>
        <v>2.0833333333333335</v>
      </c>
      <c r="V79" s="562"/>
    </row>
    <row r="80" spans="1:22" x14ac:dyDescent="0.25">
      <c r="A80" s="569" t="s">
        <v>116</v>
      </c>
      <c r="B80" s="570" t="s">
        <v>0</v>
      </c>
      <c r="C80" s="570" t="s">
        <v>206</v>
      </c>
      <c r="D80" s="529">
        <v>50</v>
      </c>
      <c r="E80" s="571" t="s">
        <v>197</v>
      </c>
      <c r="F80" s="567">
        <f t="shared" si="22"/>
        <v>4.166666666666667</v>
      </c>
      <c r="G80" s="560"/>
      <c r="H80" s="568" t="s">
        <v>218</v>
      </c>
      <c r="I80" s="567">
        <f t="shared" si="23"/>
        <v>4.166666666666667</v>
      </c>
      <c r="J80" s="562"/>
      <c r="K80" s="568" t="s">
        <v>218</v>
      </c>
      <c r="L80" s="567">
        <f t="shared" si="18"/>
        <v>4.166666666666667</v>
      </c>
      <c r="M80" s="562"/>
      <c r="N80" s="568" t="s">
        <v>218</v>
      </c>
      <c r="O80" s="567">
        <f t="shared" si="24"/>
        <v>4.166666666666667</v>
      </c>
      <c r="P80" s="534"/>
      <c r="Q80" s="568" t="s">
        <v>218</v>
      </c>
      <c r="R80" s="567">
        <f t="shared" si="25"/>
        <v>4.166666666666667</v>
      </c>
      <c r="S80" s="562"/>
      <c r="T80" s="568" t="s">
        <v>218</v>
      </c>
      <c r="U80" s="567">
        <f t="shared" si="26"/>
        <v>4.166666666666667</v>
      </c>
      <c r="V80" s="562"/>
    </row>
    <row r="81" spans="1:22" x14ac:dyDescent="0.25">
      <c r="A81" s="569" t="s">
        <v>107</v>
      </c>
      <c r="B81" s="570" t="s">
        <v>0</v>
      </c>
      <c r="C81" s="570" t="s">
        <v>206</v>
      </c>
      <c r="D81" s="529">
        <v>0</v>
      </c>
      <c r="E81" s="571" t="s">
        <v>195</v>
      </c>
      <c r="F81" s="567">
        <f t="shared" si="22"/>
        <v>0</v>
      </c>
      <c r="G81" s="538"/>
      <c r="H81" s="568" t="s">
        <v>219</v>
      </c>
      <c r="I81" s="567">
        <f t="shared" si="23"/>
        <v>0</v>
      </c>
      <c r="J81" s="562"/>
      <c r="K81" s="568" t="s">
        <v>219</v>
      </c>
      <c r="L81" s="567">
        <f t="shared" si="18"/>
        <v>0</v>
      </c>
      <c r="M81" s="562"/>
      <c r="N81" s="568" t="s">
        <v>219</v>
      </c>
      <c r="O81" s="567">
        <f t="shared" si="24"/>
        <v>0</v>
      </c>
      <c r="P81" s="534"/>
      <c r="Q81" s="568" t="s">
        <v>219</v>
      </c>
      <c r="R81" s="567">
        <f t="shared" si="25"/>
        <v>0</v>
      </c>
      <c r="S81" s="562"/>
      <c r="T81" s="568" t="s">
        <v>219</v>
      </c>
      <c r="U81" s="567">
        <f t="shared" si="26"/>
        <v>0</v>
      </c>
      <c r="V81" s="562"/>
    </row>
    <row r="82" spans="1:22" x14ac:dyDescent="0.25">
      <c r="A82" s="569" t="s">
        <v>233</v>
      </c>
      <c r="B82" s="570" t="s">
        <v>0</v>
      </c>
      <c r="C82" s="570" t="s">
        <v>206</v>
      </c>
      <c r="D82" s="529">
        <v>0</v>
      </c>
      <c r="E82" s="571" t="s">
        <v>195</v>
      </c>
      <c r="F82" s="567">
        <f t="shared" si="22"/>
        <v>0</v>
      </c>
      <c r="G82" s="538"/>
      <c r="H82" s="568" t="s">
        <v>219</v>
      </c>
      <c r="I82" s="567">
        <f t="shared" si="23"/>
        <v>0</v>
      </c>
      <c r="J82" s="562"/>
      <c r="K82" s="568" t="s">
        <v>219</v>
      </c>
      <c r="L82" s="567">
        <f t="shared" si="18"/>
        <v>0</v>
      </c>
      <c r="M82" s="562"/>
      <c r="N82" s="568" t="s">
        <v>219</v>
      </c>
      <c r="O82" s="567">
        <f t="shared" si="24"/>
        <v>0</v>
      </c>
      <c r="P82" s="534"/>
      <c r="Q82" s="568" t="s">
        <v>219</v>
      </c>
      <c r="R82" s="567">
        <f t="shared" si="25"/>
        <v>0</v>
      </c>
      <c r="S82" s="562"/>
      <c r="T82" s="568" t="s">
        <v>219</v>
      </c>
      <c r="U82" s="567">
        <f t="shared" si="26"/>
        <v>0</v>
      </c>
      <c r="V82" s="562"/>
    </row>
    <row r="83" spans="1:22" x14ac:dyDescent="0.25">
      <c r="A83" s="569" t="s">
        <v>234</v>
      </c>
      <c r="B83" s="570" t="s">
        <v>0</v>
      </c>
      <c r="C83" s="570" t="s">
        <v>206</v>
      </c>
      <c r="D83" s="529">
        <v>0</v>
      </c>
      <c r="E83" s="571" t="s">
        <v>195</v>
      </c>
      <c r="F83" s="567">
        <f t="shared" si="22"/>
        <v>0</v>
      </c>
      <c r="G83" s="538"/>
      <c r="H83" s="568" t="s">
        <v>219</v>
      </c>
      <c r="I83" s="567">
        <f t="shared" si="23"/>
        <v>0</v>
      </c>
      <c r="J83" s="562"/>
      <c r="K83" s="568" t="s">
        <v>219</v>
      </c>
      <c r="L83" s="567">
        <f t="shared" si="18"/>
        <v>0</v>
      </c>
      <c r="M83" s="562"/>
      <c r="N83" s="568" t="s">
        <v>219</v>
      </c>
      <c r="O83" s="567">
        <f t="shared" si="24"/>
        <v>0</v>
      </c>
      <c r="P83" s="534"/>
      <c r="Q83" s="568" t="s">
        <v>219</v>
      </c>
      <c r="R83" s="567">
        <f t="shared" si="25"/>
        <v>0</v>
      </c>
      <c r="S83" s="562"/>
      <c r="T83" s="568" t="s">
        <v>219</v>
      </c>
      <c r="U83" s="567">
        <f t="shared" si="26"/>
        <v>0</v>
      </c>
      <c r="V83" s="562"/>
    </row>
    <row r="84" spans="1:22" x14ac:dyDescent="0.25">
      <c r="A84" s="569" t="s">
        <v>235</v>
      </c>
      <c r="B84" s="570" t="s">
        <v>0</v>
      </c>
      <c r="C84" s="570" t="s">
        <v>206</v>
      </c>
      <c r="D84" s="529">
        <v>0</v>
      </c>
      <c r="E84" s="571" t="s">
        <v>195</v>
      </c>
      <c r="F84" s="567">
        <f t="shared" si="22"/>
        <v>0</v>
      </c>
      <c r="G84" s="538"/>
      <c r="H84" s="568" t="s">
        <v>219</v>
      </c>
      <c r="I84" s="567">
        <f t="shared" si="23"/>
        <v>0</v>
      </c>
      <c r="J84" s="562"/>
      <c r="K84" s="568" t="s">
        <v>219</v>
      </c>
      <c r="L84" s="567">
        <f t="shared" si="18"/>
        <v>0</v>
      </c>
      <c r="M84" s="562"/>
      <c r="N84" s="568" t="s">
        <v>219</v>
      </c>
      <c r="O84" s="567">
        <f t="shared" si="24"/>
        <v>0</v>
      </c>
      <c r="P84" s="534"/>
      <c r="Q84" s="568" t="s">
        <v>219</v>
      </c>
      <c r="R84" s="567">
        <f t="shared" si="25"/>
        <v>0</v>
      </c>
      <c r="S84" s="562"/>
      <c r="T84" s="568" t="s">
        <v>219</v>
      </c>
      <c r="U84" s="567">
        <f t="shared" si="26"/>
        <v>0</v>
      </c>
      <c r="V84" s="562"/>
    </row>
    <row r="85" spans="1:22" x14ac:dyDescent="0.25">
      <c r="A85" s="569" t="s">
        <v>236</v>
      </c>
      <c r="B85" s="570" t="s">
        <v>0</v>
      </c>
      <c r="C85" s="570" t="s">
        <v>206</v>
      </c>
      <c r="D85" s="529">
        <v>0</v>
      </c>
      <c r="E85" s="571" t="s">
        <v>195</v>
      </c>
      <c r="F85" s="567">
        <f t="shared" si="22"/>
        <v>0</v>
      </c>
      <c r="G85" s="538"/>
      <c r="H85" s="568" t="s">
        <v>219</v>
      </c>
      <c r="I85" s="567">
        <f t="shared" si="23"/>
        <v>0</v>
      </c>
      <c r="J85" s="562"/>
      <c r="K85" s="568" t="s">
        <v>219</v>
      </c>
      <c r="L85" s="567">
        <f t="shared" si="18"/>
        <v>0</v>
      </c>
      <c r="M85" s="562"/>
      <c r="N85" s="568" t="s">
        <v>219</v>
      </c>
      <c r="O85" s="567">
        <f t="shared" si="24"/>
        <v>0</v>
      </c>
      <c r="P85" s="534"/>
      <c r="Q85" s="568" t="s">
        <v>219</v>
      </c>
      <c r="R85" s="567">
        <f t="shared" si="25"/>
        <v>0</v>
      </c>
      <c r="S85" s="562"/>
      <c r="T85" s="568" t="s">
        <v>219</v>
      </c>
      <c r="U85" s="567">
        <f t="shared" si="26"/>
        <v>0</v>
      </c>
      <c r="V85" s="562"/>
    </row>
    <row r="86" spans="1:22" x14ac:dyDescent="0.25">
      <c r="A86" s="569" t="s">
        <v>237</v>
      </c>
      <c r="B86" s="570" t="s">
        <v>0</v>
      </c>
      <c r="C86" s="570" t="s">
        <v>206</v>
      </c>
      <c r="D86" s="529">
        <v>0</v>
      </c>
      <c r="E86" s="571" t="s">
        <v>195</v>
      </c>
      <c r="F86" s="567">
        <f t="shared" si="22"/>
        <v>0</v>
      </c>
      <c r="G86" s="538"/>
      <c r="H86" s="568" t="s">
        <v>219</v>
      </c>
      <c r="I86" s="567">
        <f t="shared" si="23"/>
        <v>0</v>
      </c>
      <c r="J86" s="562"/>
      <c r="K86" s="568" t="s">
        <v>219</v>
      </c>
      <c r="L86" s="567">
        <f t="shared" si="18"/>
        <v>0</v>
      </c>
      <c r="M86" s="562"/>
      <c r="N86" s="568" t="s">
        <v>219</v>
      </c>
      <c r="O86" s="567">
        <f t="shared" si="24"/>
        <v>0</v>
      </c>
      <c r="P86" s="534"/>
      <c r="Q86" s="568" t="s">
        <v>219</v>
      </c>
      <c r="R86" s="567">
        <f t="shared" si="25"/>
        <v>0</v>
      </c>
      <c r="S86" s="562"/>
      <c r="T86" s="568" t="s">
        <v>219</v>
      </c>
      <c r="U86" s="567">
        <f t="shared" si="26"/>
        <v>0</v>
      </c>
      <c r="V86" s="562"/>
    </row>
    <row r="87" spans="1:22" x14ac:dyDescent="0.25">
      <c r="A87" s="569" t="s">
        <v>238</v>
      </c>
      <c r="B87" s="570" t="s">
        <v>0</v>
      </c>
      <c r="C87" s="570" t="s">
        <v>206</v>
      </c>
      <c r="D87" s="529">
        <v>0</v>
      </c>
      <c r="E87" s="571" t="s">
        <v>195</v>
      </c>
      <c r="F87" s="567">
        <f t="shared" si="22"/>
        <v>0</v>
      </c>
      <c r="G87" s="538"/>
      <c r="H87" s="568" t="s">
        <v>219</v>
      </c>
      <c r="I87" s="567">
        <f t="shared" si="23"/>
        <v>0</v>
      </c>
      <c r="J87" s="562"/>
      <c r="K87" s="568" t="s">
        <v>219</v>
      </c>
      <c r="L87" s="567">
        <f t="shared" si="18"/>
        <v>0</v>
      </c>
      <c r="M87" s="562"/>
      <c r="N87" s="568" t="s">
        <v>219</v>
      </c>
      <c r="O87" s="567">
        <f t="shared" si="24"/>
        <v>0</v>
      </c>
      <c r="P87" s="534"/>
      <c r="Q87" s="568" t="s">
        <v>219</v>
      </c>
      <c r="R87" s="567">
        <f t="shared" si="25"/>
        <v>0</v>
      </c>
      <c r="S87" s="562"/>
      <c r="T87" s="568" t="s">
        <v>219</v>
      </c>
      <c r="U87" s="567">
        <f t="shared" si="26"/>
        <v>0</v>
      </c>
      <c r="V87" s="562"/>
    </row>
    <row r="88" spans="1:22" x14ac:dyDescent="0.25">
      <c r="A88" s="569" t="s">
        <v>111</v>
      </c>
      <c r="B88" s="570" t="s">
        <v>0</v>
      </c>
      <c r="C88" s="570" t="s">
        <v>206</v>
      </c>
      <c r="D88" s="529">
        <v>0</v>
      </c>
      <c r="E88" s="571" t="s">
        <v>195</v>
      </c>
      <c r="F88" s="567">
        <f t="shared" si="22"/>
        <v>0</v>
      </c>
      <c r="G88" s="538"/>
      <c r="H88" s="568" t="s">
        <v>219</v>
      </c>
      <c r="I88" s="567">
        <f t="shared" si="23"/>
        <v>0</v>
      </c>
      <c r="J88" s="562"/>
      <c r="K88" s="568" t="s">
        <v>219</v>
      </c>
      <c r="L88" s="567">
        <f t="shared" si="18"/>
        <v>0</v>
      </c>
      <c r="M88" s="562"/>
      <c r="N88" s="568" t="s">
        <v>219</v>
      </c>
      <c r="O88" s="567">
        <f t="shared" si="24"/>
        <v>0</v>
      </c>
      <c r="P88" s="534"/>
      <c r="Q88" s="568" t="s">
        <v>219</v>
      </c>
      <c r="R88" s="567">
        <f t="shared" si="25"/>
        <v>0</v>
      </c>
      <c r="S88" s="562"/>
      <c r="T88" s="568" t="s">
        <v>219</v>
      </c>
      <c r="U88" s="567">
        <f t="shared" si="26"/>
        <v>0</v>
      </c>
      <c r="V88" s="562"/>
    </row>
    <row r="89" spans="1:22" x14ac:dyDescent="0.25">
      <c r="A89" s="569" t="s">
        <v>239</v>
      </c>
      <c r="B89" s="570" t="s">
        <v>0</v>
      </c>
      <c r="C89" s="570" t="s">
        <v>206</v>
      </c>
      <c r="D89" s="529">
        <v>0</v>
      </c>
      <c r="E89" s="571" t="s">
        <v>195</v>
      </c>
      <c r="F89" s="567">
        <f t="shared" si="22"/>
        <v>0</v>
      </c>
      <c r="G89" s="538"/>
      <c r="H89" s="568" t="s">
        <v>219</v>
      </c>
      <c r="I89" s="567">
        <f t="shared" si="23"/>
        <v>0</v>
      </c>
      <c r="J89" s="562"/>
      <c r="K89" s="568" t="s">
        <v>219</v>
      </c>
      <c r="L89" s="567">
        <f t="shared" si="18"/>
        <v>0</v>
      </c>
      <c r="M89" s="562"/>
      <c r="N89" s="568" t="s">
        <v>219</v>
      </c>
      <c r="O89" s="567">
        <f t="shared" si="24"/>
        <v>0</v>
      </c>
      <c r="P89" s="534"/>
      <c r="Q89" s="568" t="s">
        <v>219</v>
      </c>
      <c r="R89" s="567">
        <f t="shared" si="25"/>
        <v>0</v>
      </c>
      <c r="S89" s="562"/>
      <c r="T89" s="568" t="s">
        <v>219</v>
      </c>
      <c r="U89" s="567">
        <f t="shared" si="26"/>
        <v>0</v>
      </c>
      <c r="V89" s="562"/>
    </row>
    <row r="90" spans="1:22" x14ac:dyDescent="0.25">
      <c r="A90" s="569" t="s">
        <v>240</v>
      </c>
      <c r="B90" s="570" t="s">
        <v>0</v>
      </c>
      <c r="C90" s="570" t="s">
        <v>206</v>
      </c>
      <c r="D90" s="529">
        <v>0</v>
      </c>
      <c r="E90" s="571" t="s">
        <v>195</v>
      </c>
      <c r="F90" s="567">
        <f t="shared" si="22"/>
        <v>0</v>
      </c>
      <c r="G90" s="538"/>
      <c r="H90" s="568" t="s">
        <v>219</v>
      </c>
      <c r="I90" s="567">
        <f t="shared" si="23"/>
        <v>0</v>
      </c>
      <c r="J90" s="562"/>
      <c r="K90" s="568" t="s">
        <v>219</v>
      </c>
      <c r="L90" s="567">
        <f t="shared" si="18"/>
        <v>0</v>
      </c>
      <c r="M90" s="562"/>
      <c r="N90" s="568" t="s">
        <v>219</v>
      </c>
      <c r="O90" s="567">
        <f t="shared" si="24"/>
        <v>0</v>
      </c>
      <c r="P90" s="534"/>
      <c r="Q90" s="568" t="s">
        <v>219</v>
      </c>
      <c r="R90" s="567">
        <f t="shared" si="25"/>
        <v>0</v>
      </c>
      <c r="S90" s="562"/>
      <c r="T90" s="568" t="s">
        <v>219</v>
      </c>
      <c r="U90" s="567">
        <f t="shared" si="26"/>
        <v>0</v>
      </c>
      <c r="V90" s="562"/>
    </row>
    <row r="91" spans="1:22" x14ac:dyDescent="0.25">
      <c r="A91" s="569" t="s">
        <v>241</v>
      </c>
      <c r="B91" s="570" t="s">
        <v>0</v>
      </c>
      <c r="C91" s="570" t="s">
        <v>206</v>
      </c>
      <c r="D91" s="529">
        <v>0</v>
      </c>
      <c r="E91" s="571" t="s">
        <v>195</v>
      </c>
      <c r="F91" s="567">
        <f t="shared" si="22"/>
        <v>0</v>
      </c>
      <c r="G91" s="538"/>
      <c r="H91" s="568" t="s">
        <v>219</v>
      </c>
      <c r="I91" s="567">
        <f t="shared" si="23"/>
        <v>0</v>
      </c>
      <c r="J91" s="562"/>
      <c r="K91" s="568" t="s">
        <v>219</v>
      </c>
      <c r="L91" s="567">
        <f t="shared" si="18"/>
        <v>0</v>
      </c>
      <c r="M91" s="562"/>
      <c r="N91" s="568" t="s">
        <v>219</v>
      </c>
      <c r="O91" s="567">
        <f t="shared" si="24"/>
        <v>0</v>
      </c>
      <c r="P91" s="534"/>
      <c r="Q91" s="568" t="s">
        <v>219</v>
      </c>
      <c r="R91" s="567">
        <f t="shared" si="25"/>
        <v>0</v>
      </c>
      <c r="S91" s="562"/>
      <c r="T91" s="568" t="s">
        <v>219</v>
      </c>
      <c r="U91" s="567">
        <f t="shared" si="26"/>
        <v>0</v>
      </c>
      <c r="V91" s="562"/>
    </row>
    <row r="92" spans="1:22" x14ac:dyDescent="0.25">
      <c r="A92" s="569" t="s">
        <v>105</v>
      </c>
      <c r="B92" s="570" t="s">
        <v>0</v>
      </c>
      <c r="C92" s="570" t="s">
        <v>206</v>
      </c>
      <c r="D92" s="529">
        <v>13</v>
      </c>
      <c r="E92" s="571" t="s">
        <v>195</v>
      </c>
      <c r="F92" s="567">
        <f t="shared" si="22"/>
        <v>13</v>
      </c>
      <c r="G92" s="560" t="s">
        <v>220</v>
      </c>
      <c r="H92" s="572" t="s">
        <v>218</v>
      </c>
      <c r="I92" s="567">
        <f t="shared" si="23"/>
        <v>13</v>
      </c>
      <c r="J92" s="562"/>
      <c r="K92" s="572" t="s">
        <v>218</v>
      </c>
      <c r="L92" s="567">
        <f t="shared" si="18"/>
        <v>13</v>
      </c>
      <c r="M92" s="562"/>
      <c r="N92" s="568" t="s">
        <v>219</v>
      </c>
      <c r="O92" s="567">
        <f t="shared" si="24"/>
        <v>0</v>
      </c>
      <c r="P92" s="534"/>
      <c r="Q92" s="572" t="s">
        <v>218</v>
      </c>
      <c r="R92" s="567">
        <f t="shared" si="25"/>
        <v>13</v>
      </c>
      <c r="S92" s="562"/>
      <c r="T92" s="572" t="s">
        <v>218</v>
      </c>
      <c r="U92" s="567">
        <f t="shared" si="26"/>
        <v>13</v>
      </c>
      <c r="V92" s="562"/>
    </row>
    <row r="93" spans="1:22" x14ac:dyDescent="0.25">
      <c r="A93" s="569" t="s">
        <v>113</v>
      </c>
      <c r="B93" s="570" t="s">
        <v>0</v>
      </c>
      <c r="C93" s="570" t="s">
        <v>206</v>
      </c>
      <c r="D93" s="529">
        <v>0</v>
      </c>
      <c r="E93" s="571" t="s">
        <v>195</v>
      </c>
      <c r="F93" s="567">
        <f t="shared" si="22"/>
        <v>0</v>
      </c>
      <c r="G93" s="538"/>
      <c r="H93" s="568" t="s">
        <v>219</v>
      </c>
      <c r="I93" s="567">
        <f t="shared" si="23"/>
        <v>0</v>
      </c>
      <c r="J93" s="562"/>
      <c r="K93" s="568" t="s">
        <v>219</v>
      </c>
      <c r="L93" s="567">
        <f t="shared" si="18"/>
        <v>0</v>
      </c>
      <c r="M93" s="562"/>
      <c r="N93" s="568" t="s">
        <v>219</v>
      </c>
      <c r="O93" s="567">
        <f t="shared" si="24"/>
        <v>0</v>
      </c>
      <c r="P93" s="534"/>
      <c r="Q93" s="568" t="s">
        <v>219</v>
      </c>
      <c r="R93" s="567">
        <f t="shared" si="25"/>
        <v>0</v>
      </c>
      <c r="S93" s="562"/>
      <c r="T93" s="568" t="s">
        <v>219</v>
      </c>
      <c r="U93" s="567">
        <f t="shared" si="26"/>
        <v>0</v>
      </c>
      <c r="V93" s="562"/>
    </row>
    <row r="94" spans="1:22" x14ac:dyDescent="0.25">
      <c r="A94" s="569" t="s">
        <v>108</v>
      </c>
      <c r="B94" s="570" t="s">
        <v>0</v>
      </c>
      <c r="C94" s="570" t="s">
        <v>206</v>
      </c>
      <c r="D94" s="529">
        <v>0</v>
      </c>
      <c r="E94" s="571" t="s">
        <v>195</v>
      </c>
      <c r="F94" s="567">
        <f t="shared" si="22"/>
        <v>0</v>
      </c>
      <c r="G94" s="538"/>
      <c r="H94" s="568" t="s">
        <v>219</v>
      </c>
      <c r="I94" s="567">
        <f t="shared" si="23"/>
        <v>0</v>
      </c>
      <c r="J94" s="562"/>
      <c r="K94" s="568" t="s">
        <v>219</v>
      </c>
      <c r="L94" s="567">
        <f t="shared" si="18"/>
        <v>0</v>
      </c>
      <c r="M94" s="562"/>
      <c r="N94" s="568" t="s">
        <v>219</v>
      </c>
      <c r="O94" s="567">
        <f t="shared" si="24"/>
        <v>0</v>
      </c>
      <c r="P94" s="534"/>
      <c r="Q94" s="568" t="s">
        <v>219</v>
      </c>
      <c r="R94" s="567">
        <f t="shared" si="25"/>
        <v>0</v>
      </c>
      <c r="S94" s="562"/>
      <c r="T94" s="568" t="s">
        <v>219</v>
      </c>
      <c r="U94" s="567">
        <f t="shared" si="26"/>
        <v>0</v>
      </c>
      <c r="V94" s="562"/>
    </row>
    <row r="95" spans="1:22" x14ac:dyDescent="0.25">
      <c r="A95" s="569" t="s">
        <v>242</v>
      </c>
      <c r="B95" s="570" t="s">
        <v>0</v>
      </c>
      <c r="C95" s="570" t="s">
        <v>206</v>
      </c>
      <c r="D95" s="529">
        <v>0</v>
      </c>
      <c r="E95" s="571" t="s">
        <v>195</v>
      </c>
      <c r="F95" s="567">
        <f t="shared" si="22"/>
        <v>0</v>
      </c>
      <c r="G95" s="538"/>
      <c r="H95" s="568" t="s">
        <v>219</v>
      </c>
      <c r="I95" s="567">
        <f t="shared" si="23"/>
        <v>0</v>
      </c>
      <c r="J95" s="562"/>
      <c r="K95" s="568" t="s">
        <v>219</v>
      </c>
      <c r="L95" s="567">
        <f t="shared" si="18"/>
        <v>0</v>
      </c>
      <c r="M95" s="562"/>
      <c r="N95" s="568" t="s">
        <v>219</v>
      </c>
      <c r="O95" s="567">
        <f t="shared" si="24"/>
        <v>0</v>
      </c>
      <c r="P95" s="534"/>
      <c r="Q95" s="568" t="s">
        <v>219</v>
      </c>
      <c r="R95" s="567">
        <f t="shared" si="25"/>
        <v>0</v>
      </c>
      <c r="S95" s="562"/>
      <c r="T95" s="568" t="s">
        <v>219</v>
      </c>
      <c r="U95" s="567">
        <f t="shared" si="26"/>
        <v>0</v>
      </c>
      <c r="V95" s="562"/>
    </row>
    <row r="96" spans="1:22" x14ac:dyDescent="0.25">
      <c r="A96" s="569" t="s">
        <v>243</v>
      </c>
      <c r="B96" s="570" t="s">
        <v>0</v>
      </c>
      <c r="C96" s="570" t="s">
        <v>206</v>
      </c>
      <c r="D96" s="529">
        <v>0</v>
      </c>
      <c r="E96" s="571" t="s">
        <v>195</v>
      </c>
      <c r="F96" s="567">
        <f t="shared" si="22"/>
        <v>0</v>
      </c>
      <c r="G96" s="538"/>
      <c r="H96" s="568" t="s">
        <v>219</v>
      </c>
      <c r="I96" s="567">
        <f t="shared" si="23"/>
        <v>0</v>
      </c>
      <c r="J96" s="562"/>
      <c r="K96" s="568" t="s">
        <v>219</v>
      </c>
      <c r="L96" s="567">
        <f t="shared" si="18"/>
        <v>0</v>
      </c>
      <c r="M96" s="562"/>
      <c r="N96" s="568" t="s">
        <v>219</v>
      </c>
      <c r="O96" s="567">
        <f t="shared" si="24"/>
        <v>0</v>
      </c>
      <c r="P96" s="534"/>
      <c r="Q96" s="568" t="s">
        <v>219</v>
      </c>
      <c r="R96" s="567">
        <f t="shared" si="25"/>
        <v>0</v>
      </c>
      <c r="S96" s="562"/>
      <c r="T96" s="568" t="s">
        <v>219</v>
      </c>
      <c r="U96" s="567">
        <f t="shared" si="26"/>
        <v>0</v>
      </c>
      <c r="V96" s="562"/>
    </row>
    <row r="97" spans="1:22" x14ac:dyDescent="0.25">
      <c r="A97" s="569" t="s">
        <v>118</v>
      </c>
      <c r="B97" s="570" t="s">
        <v>0</v>
      </c>
      <c r="C97" s="570" t="s">
        <v>206</v>
      </c>
      <c r="D97" s="529">
        <v>20</v>
      </c>
      <c r="E97" s="571" t="s">
        <v>197</v>
      </c>
      <c r="F97" s="567">
        <f t="shared" si="22"/>
        <v>1.6666666666666667</v>
      </c>
      <c r="G97" s="560"/>
      <c r="H97" s="568" t="s">
        <v>218</v>
      </c>
      <c r="I97" s="567">
        <f t="shared" si="23"/>
        <v>1.6666666666666667</v>
      </c>
      <c r="J97" s="562"/>
      <c r="K97" s="568" t="s">
        <v>218</v>
      </c>
      <c r="L97" s="567">
        <f t="shared" si="18"/>
        <v>1.6666666666666667</v>
      </c>
      <c r="M97" s="562"/>
      <c r="N97" s="568" t="s">
        <v>219</v>
      </c>
      <c r="O97" s="567">
        <f t="shared" si="24"/>
        <v>0</v>
      </c>
      <c r="P97" s="534"/>
      <c r="Q97" s="568" t="s">
        <v>218</v>
      </c>
      <c r="R97" s="567">
        <f t="shared" si="25"/>
        <v>1.6666666666666667</v>
      </c>
      <c r="S97" s="562"/>
      <c r="T97" s="568" t="s">
        <v>218</v>
      </c>
      <c r="U97" s="567">
        <f t="shared" si="26"/>
        <v>1.6666666666666667</v>
      </c>
      <c r="V97" s="562"/>
    </row>
    <row r="98" spans="1:22" x14ac:dyDescent="0.25">
      <c r="A98" s="569" t="s">
        <v>110</v>
      </c>
      <c r="B98" s="570" t="s">
        <v>0</v>
      </c>
      <c r="C98" s="570" t="s">
        <v>206</v>
      </c>
      <c r="D98" s="529">
        <v>0</v>
      </c>
      <c r="E98" s="571" t="s">
        <v>195</v>
      </c>
      <c r="F98" s="567">
        <f t="shared" si="22"/>
        <v>0</v>
      </c>
      <c r="G98" s="538"/>
      <c r="H98" s="568" t="s">
        <v>219</v>
      </c>
      <c r="I98" s="567">
        <f t="shared" si="23"/>
        <v>0</v>
      </c>
      <c r="J98" s="562"/>
      <c r="K98" s="568" t="s">
        <v>219</v>
      </c>
      <c r="L98" s="567">
        <f t="shared" si="18"/>
        <v>0</v>
      </c>
      <c r="M98" s="562"/>
      <c r="N98" s="568" t="s">
        <v>219</v>
      </c>
      <c r="O98" s="567">
        <f t="shared" si="24"/>
        <v>0</v>
      </c>
      <c r="P98" s="534"/>
      <c r="Q98" s="568" t="s">
        <v>219</v>
      </c>
      <c r="R98" s="567">
        <f t="shared" si="25"/>
        <v>0</v>
      </c>
      <c r="S98" s="562"/>
      <c r="T98" s="568" t="s">
        <v>219</v>
      </c>
      <c r="U98" s="567">
        <f t="shared" si="26"/>
        <v>0</v>
      </c>
      <c r="V98" s="562"/>
    </row>
    <row r="99" spans="1:22" x14ac:dyDescent="0.25">
      <c r="A99" s="569" t="s">
        <v>119</v>
      </c>
      <c r="B99" s="570" t="s">
        <v>0</v>
      </c>
      <c r="C99" s="570" t="s">
        <v>159</v>
      </c>
      <c r="D99" s="529">
        <v>400</v>
      </c>
      <c r="E99" s="571" t="s">
        <v>195</v>
      </c>
      <c r="F99" s="567">
        <f t="shared" si="22"/>
        <v>400</v>
      </c>
      <c r="G99" s="538"/>
      <c r="H99" s="568" t="s">
        <v>219</v>
      </c>
      <c r="I99" s="567">
        <f t="shared" si="23"/>
        <v>0</v>
      </c>
      <c r="J99" s="562"/>
      <c r="K99" s="568" t="s">
        <v>219</v>
      </c>
      <c r="L99" s="567">
        <f t="shared" si="18"/>
        <v>0</v>
      </c>
      <c r="M99" s="562"/>
      <c r="N99" s="568" t="s">
        <v>219</v>
      </c>
      <c r="O99" s="567">
        <f t="shared" si="24"/>
        <v>0</v>
      </c>
      <c r="P99" s="534"/>
      <c r="Q99" s="568" t="s">
        <v>219</v>
      </c>
      <c r="R99" s="567">
        <f t="shared" si="25"/>
        <v>0</v>
      </c>
      <c r="S99" s="562"/>
      <c r="T99" s="568" t="s">
        <v>219</v>
      </c>
      <c r="U99" s="567">
        <f t="shared" si="26"/>
        <v>0</v>
      </c>
      <c r="V99" s="562"/>
    </row>
    <row r="100" spans="1:22" x14ac:dyDescent="0.25">
      <c r="A100" s="573" t="s">
        <v>244</v>
      </c>
      <c r="B100" s="576" t="s">
        <v>1</v>
      </c>
      <c r="C100" s="576" t="s">
        <v>207</v>
      </c>
      <c r="D100" s="529">
        <v>14</v>
      </c>
      <c r="E100" s="571" t="s">
        <v>195</v>
      </c>
      <c r="F100" s="567">
        <f t="shared" si="22"/>
        <v>14</v>
      </c>
      <c r="G100" s="538"/>
      <c r="H100" s="568" t="s">
        <v>219</v>
      </c>
      <c r="I100" s="567">
        <f t="shared" si="23"/>
        <v>0</v>
      </c>
      <c r="J100" s="562"/>
      <c r="K100" s="568" t="s">
        <v>219</v>
      </c>
      <c r="L100" s="567">
        <f t="shared" si="18"/>
        <v>0</v>
      </c>
      <c r="M100" s="562"/>
      <c r="N100" s="568" t="s">
        <v>219</v>
      </c>
      <c r="O100" s="567">
        <f t="shared" si="24"/>
        <v>0</v>
      </c>
      <c r="P100" s="534"/>
      <c r="Q100" s="568" t="s">
        <v>219</v>
      </c>
      <c r="R100" s="567">
        <f t="shared" si="25"/>
        <v>0</v>
      </c>
      <c r="S100" s="562"/>
      <c r="T100" s="568" t="s">
        <v>219</v>
      </c>
      <c r="U100" s="567">
        <f t="shared" si="26"/>
        <v>0</v>
      </c>
      <c r="V100" s="562"/>
    </row>
    <row r="101" spans="1:22" x14ac:dyDescent="0.25">
      <c r="A101" s="573" t="s">
        <v>245</v>
      </c>
      <c r="B101" s="576" t="s">
        <v>1</v>
      </c>
      <c r="C101" s="576" t="s">
        <v>207</v>
      </c>
      <c r="D101" s="529">
        <v>85</v>
      </c>
      <c r="E101" s="571" t="s">
        <v>222</v>
      </c>
      <c r="F101" s="567">
        <f t="shared" si="22"/>
        <v>28.333333333333332</v>
      </c>
      <c r="G101" s="538"/>
      <c r="H101" s="568" t="s">
        <v>219</v>
      </c>
      <c r="I101" s="567">
        <f t="shared" si="23"/>
        <v>0</v>
      </c>
      <c r="J101" s="562"/>
      <c r="K101" s="568" t="s">
        <v>219</v>
      </c>
      <c r="L101" s="567">
        <f t="shared" si="18"/>
        <v>0</v>
      </c>
      <c r="M101" s="562"/>
      <c r="N101" s="568" t="s">
        <v>219</v>
      </c>
      <c r="O101" s="567">
        <f t="shared" si="24"/>
        <v>0</v>
      </c>
      <c r="P101" s="534"/>
      <c r="Q101" s="568" t="s">
        <v>219</v>
      </c>
      <c r="R101" s="567">
        <f t="shared" si="25"/>
        <v>0</v>
      </c>
      <c r="S101" s="562"/>
      <c r="T101" s="568" t="s">
        <v>219</v>
      </c>
      <c r="U101" s="567">
        <f t="shared" si="26"/>
        <v>0</v>
      </c>
      <c r="V101" s="562"/>
    </row>
    <row r="102" spans="1:22" x14ac:dyDescent="0.25">
      <c r="A102" s="573" t="s">
        <v>246</v>
      </c>
      <c r="B102" s="576" t="s">
        <v>1</v>
      </c>
      <c r="C102" s="576" t="s">
        <v>207</v>
      </c>
      <c r="D102" s="529">
        <v>85</v>
      </c>
      <c r="E102" s="571" t="s">
        <v>197</v>
      </c>
      <c r="F102" s="567">
        <f t="shared" si="22"/>
        <v>7.083333333333333</v>
      </c>
      <c r="G102" s="538"/>
      <c r="H102" s="568" t="s">
        <v>219</v>
      </c>
      <c r="I102" s="567">
        <f t="shared" si="23"/>
        <v>0</v>
      </c>
      <c r="J102" s="562"/>
      <c r="K102" s="568" t="s">
        <v>219</v>
      </c>
      <c r="L102" s="567">
        <f t="shared" si="18"/>
        <v>0</v>
      </c>
      <c r="M102" s="562"/>
      <c r="N102" s="568" t="s">
        <v>219</v>
      </c>
      <c r="O102" s="567">
        <f t="shared" si="24"/>
        <v>0</v>
      </c>
      <c r="P102" s="534"/>
      <c r="Q102" s="568" t="s">
        <v>219</v>
      </c>
      <c r="R102" s="567">
        <f t="shared" si="25"/>
        <v>0</v>
      </c>
      <c r="S102" s="562"/>
      <c r="T102" s="568" t="s">
        <v>219</v>
      </c>
      <c r="U102" s="567">
        <f t="shared" si="26"/>
        <v>0</v>
      </c>
      <c r="V102" s="562"/>
    </row>
    <row r="103" spans="1:22" x14ac:dyDescent="0.25">
      <c r="A103" s="573" t="s">
        <v>247</v>
      </c>
      <c r="B103" s="576" t="s">
        <v>1</v>
      </c>
      <c r="C103" s="576" t="s">
        <v>207</v>
      </c>
      <c r="D103" s="529">
        <v>150</v>
      </c>
      <c r="E103" s="571" t="s">
        <v>197</v>
      </c>
      <c r="F103" s="567">
        <f t="shared" si="22"/>
        <v>12.5</v>
      </c>
      <c r="G103" s="538"/>
      <c r="H103" s="568" t="s">
        <v>219</v>
      </c>
      <c r="I103" s="567">
        <f t="shared" si="23"/>
        <v>0</v>
      </c>
      <c r="J103" s="562"/>
      <c r="K103" s="568" t="s">
        <v>219</v>
      </c>
      <c r="L103" s="567">
        <f t="shared" si="18"/>
        <v>0</v>
      </c>
      <c r="M103" s="562"/>
      <c r="N103" s="568" t="s">
        <v>219</v>
      </c>
      <c r="O103" s="567">
        <f t="shared" si="24"/>
        <v>0</v>
      </c>
      <c r="P103" s="534"/>
      <c r="Q103" s="568" t="s">
        <v>219</v>
      </c>
      <c r="R103" s="567">
        <f t="shared" si="25"/>
        <v>0</v>
      </c>
      <c r="S103" s="562"/>
      <c r="T103" s="568" t="s">
        <v>219</v>
      </c>
      <c r="U103" s="567">
        <f t="shared" si="26"/>
        <v>0</v>
      </c>
      <c r="V103" s="562"/>
    </row>
    <row r="104" spans="1:22" x14ac:dyDescent="0.25">
      <c r="A104" s="573" t="s">
        <v>248</v>
      </c>
      <c r="B104" s="576" t="s">
        <v>1</v>
      </c>
      <c r="C104" s="576" t="s">
        <v>207</v>
      </c>
      <c r="D104" s="529">
        <v>200</v>
      </c>
      <c r="E104" s="571" t="s">
        <v>197</v>
      </c>
      <c r="F104" s="567">
        <f t="shared" si="22"/>
        <v>16.666666666666668</v>
      </c>
      <c r="G104" s="538"/>
      <c r="H104" s="568" t="s">
        <v>219</v>
      </c>
      <c r="I104" s="567">
        <f t="shared" si="23"/>
        <v>0</v>
      </c>
      <c r="J104" s="562"/>
      <c r="K104" s="568" t="s">
        <v>219</v>
      </c>
      <c r="L104" s="567">
        <f t="shared" si="18"/>
        <v>0</v>
      </c>
      <c r="M104" s="562"/>
      <c r="N104" s="568" t="s">
        <v>219</v>
      </c>
      <c r="O104" s="567">
        <f t="shared" si="24"/>
        <v>0</v>
      </c>
      <c r="P104" s="534"/>
      <c r="Q104" s="568" t="s">
        <v>219</v>
      </c>
      <c r="R104" s="567">
        <f t="shared" si="25"/>
        <v>0</v>
      </c>
      <c r="S104" s="562"/>
      <c r="T104" s="568" t="s">
        <v>219</v>
      </c>
      <c r="U104" s="567">
        <f t="shared" si="26"/>
        <v>0</v>
      </c>
      <c r="V104" s="562"/>
    </row>
    <row r="105" spans="1:22" x14ac:dyDescent="0.25">
      <c r="A105" s="577" t="s">
        <v>140</v>
      </c>
      <c r="B105" s="576" t="s">
        <v>1</v>
      </c>
      <c r="C105" s="576" t="s">
        <v>207</v>
      </c>
      <c r="D105" s="529">
        <v>6</v>
      </c>
      <c r="E105" s="571" t="s">
        <v>195</v>
      </c>
      <c r="F105" s="567">
        <f t="shared" ref="F105:F126" si="27">IF($E105="MENSUAL",$D105,IF($E105="TRIMESTRAL",$D105/3,IF($E105="SEMESTRAL",$D105/2,IF($E105="ANUAL",$D105/12,IF($E105="BIMENSUAL",$D105/2)))))</f>
        <v>6</v>
      </c>
      <c r="G105" s="560"/>
      <c r="H105" s="568" t="s">
        <v>218</v>
      </c>
      <c r="I105" s="567">
        <f t="shared" ref="I105:I126" si="28">IF($H105="NO",IF($E105="MENSUAL",$D105,IF($E105="TRIMESTRAL",$D105/3,IF($E105="SEMESTRAL",$D105/2,IF($E105="ANUAL",$D105/12,IF($E105="BIMENSUAL",$D105/2))))),0)</f>
        <v>6</v>
      </c>
      <c r="J105" s="562"/>
      <c r="K105" s="568" t="s">
        <v>218</v>
      </c>
      <c r="L105" s="567">
        <f t="shared" ref="L105:L126" si="29">IF($H105="NO",IF($E105="MENSUAL",$D105,IF($E105="TRIMESTRAL",$D105/3,IF($E105="SEMESTRAL",$D105/2,IF($E105="ANUAL",$D105/12,IF($E105="BIMENSUAL",$D105/2))))),0)</f>
        <v>6</v>
      </c>
      <c r="M105" s="562"/>
      <c r="N105" s="568" t="s">
        <v>218</v>
      </c>
      <c r="O105" s="567">
        <f t="shared" si="24"/>
        <v>6</v>
      </c>
      <c r="P105" s="534"/>
      <c r="Q105" s="568" t="s">
        <v>219</v>
      </c>
      <c r="R105" s="567">
        <f t="shared" ref="R105:R126" si="30">IF($Q105="NO",IF($E105="MENSUAL",$D105,IF($E105="TRIMESTRAL",$D105/3,IF($E105="SEMESTRAL",$D105/2,IF($E105="ANUAL",$D105/12,IF($E105="BIMENSUAL",$D105/2))))),0)</f>
        <v>0</v>
      </c>
      <c r="S105" s="562"/>
      <c r="T105" s="568" t="s">
        <v>219</v>
      </c>
      <c r="U105" s="567">
        <f t="shared" ref="U105:U126" si="31">IF($T105="NO",IF($E105="MENSUAL",$D105,IF($E105="TRIMESTRAL",$D105/3,IF($E105="SEMESTRAL",$D105/2,IF($E105="ANUAL",$D105/12,IF($E105="BIMENSUAL",$D105/2))))),0)</f>
        <v>0</v>
      </c>
      <c r="V105" s="562"/>
    </row>
    <row r="106" spans="1:22" x14ac:dyDescent="0.25">
      <c r="A106" s="577" t="s">
        <v>136</v>
      </c>
      <c r="B106" s="576" t="s">
        <v>1</v>
      </c>
      <c r="C106" s="576" t="s">
        <v>207</v>
      </c>
      <c r="D106" s="529">
        <v>35</v>
      </c>
      <c r="E106" s="571" t="s">
        <v>222</v>
      </c>
      <c r="F106" s="567">
        <f t="shared" si="27"/>
        <v>11.666666666666666</v>
      </c>
      <c r="G106" s="560"/>
      <c r="H106" s="568" t="s">
        <v>218</v>
      </c>
      <c r="I106" s="567">
        <f t="shared" si="28"/>
        <v>11.666666666666666</v>
      </c>
      <c r="J106" s="562"/>
      <c r="K106" s="568" t="s">
        <v>218</v>
      </c>
      <c r="L106" s="567">
        <f t="shared" si="29"/>
        <v>11.666666666666666</v>
      </c>
      <c r="M106" s="562"/>
      <c r="N106" s="568" t="s">
        <v>218</v>
      </c>
      <c r="O106" s="567">
        <f t="shared" si="24"/>
        <v>11.666666666666666</v>
      </c>
      <c r="P106" s="534"/>
      <c r="Q106" s="568" t="s">
        <v>219</v>
      </c>
      <c r="R106" s="567">
        <f t="shared" si="30"/>
        <v>0</v>
      </c>
      <c r="S106" s="562"/>
      <c r="T106" s="568" t="s">
        <v>219</v>
      </c>
      <c r="U106" s="567">
        <f t="shared" si="31"/>
        <v>0</v>
      </c>
      <c r="V106" s="562"/>
    </row>
    <row r="107" spans="1:22" x14ac:dyDescent="0.25">
      <c r="A107" s="577" t="s">
        <v>137</v>
      </c>
      <c r="B107" s="576" t="s">
        <v>1</v>
      </c>
      <c r="C107" s="576" t="s">
        <v>207</v>
      </c>
      <c r="D107" s="529">
        <v>85</v>
      </c>
      <c r="E107" s="571" t="s">
        <v>197</v>
      </c>
      <c r="F107" s="567">
        <f t="shared" si="27"/>
        <v>7.083333333333333</v>
      </c>
      <c r="G107" s="560"/>
      <c r="H107" s="568" t="s">
        <v>218</v>
      </c>
      <c r="I107" s="567">
        <f t="shared" si="28"/>
        <v>7.083333333333333</v>
      </c>
      <c r="J107" s="562"/>
      <c r="K107" s="568" t="s">
        <v>218</v>
      </c>
      <c r="L107" s="567">
        <f t="shared" si="29"/>
        <v>7.083333333333333</v>
      </c>
      <c r="M107" s="562"/>
      <c r="N107" s="568" t="s">
        <v>218</v>
      </c>
      <c r="O107" s="567">
        <f t="shared" si="24"/>
        <v>7.083333333333333</v>
      </c>
      <c r="P107" s="534"/>
      <c r="Q107" s="568" t="s">
        <v>219</v>
      </c>
      <c r="R107" s="567">
        <f t="shared" si="30"/>
        <v>0</v>
      </c>
      <c r="S107" s="562"/>
      <c r="T107" s="568" t="s">
        <v>219</v>
      </c>
      <c r="U107" s="567">
        <f t="shared" si="31"/>
        <v>0</v>
      </c>
      <c r="V107" s="562"/>
    </row>
    <row r="108" spans="1:22" x14ac:dyDescent="0.25">
      <c r="A108" s="577" t="s">
        <v>134</v>
      </c>
      <c r="B108" s="576" t="s">
        <v>1</v>
      </c>
      <c r="C108" s="576" t="s">
        <v>207</v>
      </c>
      <c r="D108" s="529">
        <v>200</v>
      </c>
      <c r="E108" s="571" t="s">
        <v>197</v>
      </c>
      <c r="F108" s="567">
        <f t="shared" si="27"/>
        <v>16.666666666666668</v>
      </c>
      <c r="G108" s="560"/>
      <c r="H108" s="568" t="s">
        <v>218</v>
      </c>
      <c r="I108" s="567">
        <f t="shared" si="28"/>
        <v>16.666666666666668</v>
      </c>
      <c r="J108" s="562"/>
      <c r="K108" s="568" t="s">
        <v>218</v>
      </c>
      <c r="L108" s="567">
        <f t="shared" si="29"/>
        <v>16.666666666666668</v>
      </c>
      <c r="M108" s="562"/>
      <c r="N108" s="568" t="s">
        <v>218</v>
      </c>
      <c r="O108" s="567">
        <f t="shared" si="24"/>
        <v>16.666666666666668</v>
      </c>
      <c r="P108" s="534"/>
      <c r="Q108" s="568" t="s">
        <v>219</v>
      </c>
      <c r="R108" s="567">
        <f t="shared" si="30"/>
        <v>0</v>
      </c>
      <c r="S108" s="562"/>
      <c r="T108" s="568" t="s">
        <v>219</v>
      </c>
      <c r="U108" s="567">
        <f t="shared" si="31"/>
        <v>0</v>
      </c>
      <c r="V108" s="562"/>
    </row>
    <row r="109" spans="1:22" x14ac:dyDescent="0.25">
      <c r="A109" s="257" t="s">
        <v>139</v>
      </c>
      <c r="B109" s="576" t="s">
        <v>1</v>
      </c>
      <c r="C109" s="576" t="s">
        <v>207</v>
      </c>
      <c r="D109" s="529">
        <v>200</v>
      </c>
      <c r="E109" s="571" t="s">
        <v>197</v>
      </c>
      <c r="F109" s="567">
        <f t="shared" si="27"/>
        <v>16.666666666666668</v>
      </c>
      <c r="G109" s="560"/>
      <c r="H109" s="568" t="s">
        <v>218</v>
      </c>
      <c r="I109" s="567">
        <f t="shared" si="28"/>
        <v>16.666666666666668</v>
      </c>
      <c r="J109" s="562"/>
      <c r="K109" s="568" t="s">
        <v>218</v>
      </c>
      <c r="L109" s="567">
        <f t="shared" si="29"/>
        <v>16.666666666666668</v>
      </c>
      <c r="M109" s="562"/>
      <c r="N109" s="568" t="s">
        <v>218</v>
      </c>
      <c r="O109" s="567">
        <f t="shared" si="24"/>
        <v>16.666666666666668</v>
      </c>
      <c r="P109" s="534"/>
      <c r="Q109" s="568" t="s">
        <v>219</v>
      </c>
      <c r="R109" s="567">
        <f t="shared" si="30"/>
        <v>0</v>
      </c>
      <c r="S109" s="562"/>
      <c r="T109" s="568" t="s">
        <v>219</v>
      </c>
      <c r="U109" s="567">
        <f t="shared" si="31"/>
        <v>0</v>
      </c>
      <c r="V109" s="562"/>
    </row>
    <row r="110" spans="1:22" x14ac:dyDescent="0.25">
      <c r="A110" s="257" t="s">
        <v>138</v>
      </c>
      <c r="B110" s="576" t="s">
        <v>1</v>
      </c>
      <c r="C110" s="576" t="s">
        <v>207</v>
      </c>
      <c r="D110" s="529">
        <v>30</v>
      </c>
      <c r="E110" s="571" t="s">
        <v>195</v>
      </c>
      <c r="F110" s="567">
        <f t="shared" si="27"/>
        <v>30</v>
      </c>
      <c r="G110" s="538"/>
      <c r="H110" s="568" t="s">
        <v>219</v>
      </c>
      <c r="I110" s="567">
        <f t="shared" si="28"/>
        <v>0</v>
      </c>
      <c r="J110" s="562"/>
      <c r="K110" s="568" t="s">
        <v>219</v>
      </c>
      <c r="L110" s="567">
        <f t="shared" si="29"/>
        <v>0</v>
      </c>
      <c r="M110" s="562"/>
      <c r="N110" s="568" t="s">
        <v>219</v>
      </c>
      <c r="O110" s="567"/>
      <c r="P110" s="534"/>
      <c r="Q110" s="568" t="s">
        <v>219</v>
      </c>
      <c r="R110" s="567">
        <f t="shared" si="30"/>
        <v>0</v>
      </c>
      <c r="S110" s="562"/>
      <c r="T110" s="568" t="s">
        <v>219</v>
      </c>
      <c r="U110" s="567">
        <f t="shared" si="31"/>
        <v>0</v>
      </c>
      <c r="V110" s="562"/>
    </row>
    <row r="111" spans="1:22" x14ac:dyDescent="0.25">
      <c r="A111" s="577" t="s">
        <v>141</v>
      </c>
      <c r="B111" s="576" t="s">
        <v>1</v>
      </c>
      <c r="C111" s="576" t="s">
        <v>206</v>
      </c>
      <c r="D111" s="529">
        <v>17</v>
      </c>
      <c r="E111" s="571" t="s">
        <v>195</v>
      </c>
      <c r="F111" s="567">
        <f t="shared" si="27"/>
        <v>17</v>
      </c>
      <c r="G111" s="538"/>
      <c r="H111" s="568" t="s">
        <v>219</v>
      </c>
      <c r="I111" s="567">
        <f t="shared" si="28"/>
        <v>0</v>
      </c>
      <c r="J111" s="562"/>
      <c r="K111" s="568" t="s">
        <v>219</v>
      </c>
      <c r="L111" s="567">
        <f t="shared" si="29"/>
        <v>0</v>
      </c>
      <c r="M111" s="562"/>
      <c r="N111" s="568" t="s">
        <v>219</v>
      </c>
      <c r="O111" s="567">
        <f t="shared" ref="O111:O126" si="32">IF($N111="NO",IF($E111="MENSUAL",$D111,IF($E111="TRIMESTRAL",$D111/3,IF($E111="SEMESTRAL",$D111/2,IF($E111="ANUAL",$D111/12,IF($E111="BIMENSUAL",$D111/2))))),0)</f>
        <v>0</v>
      </c>
      <c r="P111" s="534"/>
      <c r="Q111" s="568" t="s">
        <v>219</v>
      </c>
      <c r="R111" s="567">
        <f t="shared" si="30"/>
        <v>0</v>
      </c>
      <c r="S111" s="562"/>
      <c r="T111" s="568" t="s">
        <v>219</v>
      </c>
      <c r="U111" s="567">
        <f t="shared" si="31"/>
        <v>0</v>
      </c>
      <c r="V111" s="562"/>
    </row>
    <row r="112" spans="1:22" x14ac:dyDescent="0.25">
      <c r="A112" s="574" t="s">
        <v>249</v>
      </c>
      <c r="B112" s="576" t="s">
        <v>1</v>
      </c>
      <c r="C112" s="576" t="s">
        <v>204</v>
      </c>
      <c r="D112" s="529">
        <v>250</v>
      </c>
      <c r="E112" s="571" t="s">
        <v>197</v>
      </c>
      <c r="F112" s="567">
        <f t="shared" si="27"/>
        <v>20.833333333333332</v>
      </c>
      <c r="G112" s="560"/>
      <c r="H112" s="568" t="s">
        <v>218</v>
      </c>
      <c r="I112" s="567">
        <f t="shared" si="28"/>
        <v>20.833333333333332</v>
      </c>
      <c r="J112" s="562"/>
      <c r="K112" s="568" t="s">
        <v>218</v>
      </c>
      <c r="L112" s="567">
        <f t="shared" si="29"/>
        <v>20.833333333333332</v>
      </c>
      <c r="M112" s="562"/>
      <c r="N112" s="568" t="s">
        <v>218</v>
      </c>
      <c r="O112" s="567">
        <f t="shared" si="32"/>
        <v>20.833333333333332</v>
      </c>
      <c r="P112" s="534"/>
      <c r="Q112" s="568" t="s">
        <v>218</v>
      </c>
      <c r="R112" s="567">
        <f t="shared" si="30"/>
        <v>20.833333333333332</v>
      </c>
      <c r="S112" s="562"/>
      <c r="T112" s="568" t="s">
        <v>218</v>
      </c>
      <c r="U112" s="567">
        <f t="shared" si="31"/>
        <v>20.833333333333332</v>
      </c>
      <c r="V112" s="562"/>
    </row>
    <row r="113" spans="1:22" x14ac:dyDescent="0.25">
      <c r="A113" s="569" t="s">
        <v>250</v>
      </c>
      <c r="B113" s="576" t="s">
        <v>1</v>
      </c>
      <c r="C113" s="576" t="s">
        <v>201</v>
      </c>
      <c r="D113" s="529">
        <v>266</v>
      </c>
      <c r="E113" s="571" t="s">
        <v>197</v>
      </c>
      <c r="F113" s="567">
        <f t="shared" si="27"/>
        <v>22.166666666666668</v>
      </c>
      <c r="G113" s="560"/>
      <c r="H113" s="568" t="s">
        <v>218</v>
      </c>
      <c r="I113" s="567">
        <f t="shared" si="28"/>
        <v>22.166666666666668</v>
      </c>
      <c r="J113" s="562"/>
      <c r="K113" s="568" t="s">
        <v>218</v>
      </c>
      <c r="L113" s="567">
        <f t="shared" si="29"/>
        <v>22.166666666666668</v>
      </c>
      <c r="M113" s="562"/>
      <c r="N113" s="568" t="s">
        <v>218</v>
      </c>
      <c r="O113" s="567">
        <f t="shared" si="32"/>
        <v>22.166666666666668</v>
      </c>
      <c r="P113" s="534"/>
      <c r="Q113" s="568" t="s">
        <v>218</v>
      </c>
      <c r="R113" s="567">
        <f t="shared" si="30"/>
        <v>22.166666666666668</v>
      </c>
      <c r="S113" s="562"/>
      <c r="T113" s="568" t="s">
        <v>218</v>
      </c>
      <c r="U113" s="567">
        <f t="shared" si="31"/>
        <v>22.166666666666668</v>
      </c>
      <c r="V113" s="562"/>
    </row>
    <row r="114" spans="1:22" x14ac:dyDescent="0.25">
      <c r="A114" s="577" t="s">
        <v>66</v>
      </c>
      <c r="B114" s="576" t="s">
        <v>1</v>
      </c>
      <c r="C114" s="576" t="s">
        <v>66</v>
      </c>
      <c r="D114" s="529">
        <v>1400</v>
      </c>
      <c r="E114" s="571" t="s">
        <v>195</v>
      </c>
      <c r="F114" s="567">
        <f t="shared" si="27"/>
        <v>1400</v>
      </c>
      <c r="G114" s="560"/>
      <c r="H114" s="572" t="s">
        <v>218</v>
      </c>
      <c r="I114" s="567">
        <f t="shared" si="28"/>
        <v>1400</v>
      </c>
      <c r="J114" s="562"/>
      <c r="K114" s="572" t="s">
        <v>218</v>
      </c>
      <c r="L114" s="567">
        <f t="shared" si="29"/>
        <v>1400</v>
      </c>
      <c r="M114" s="562"/>
      <c r="N114" s="568" t="s">
        <v>218</v>
      </c>
      <c r="O114" s="567">
        <f t="shared" si="32"/>
        <v>1400</v>
      </c>
      <c r="P114" s="534"/>
      <c r="Q114" s="568" t="s">
        <v>218</v>
      </c>
      <c r="R114" s="567">
        <f t="shared" si="30"/>
        <v>1400</v>
      </c>
      <c r="S114" s="562"/>
      <c r="T114" s="568" t="s">
        <v>218</v>
      </c>
      <c r="U114" s="567">
        <f t="shared" si="31"/>
        <v>1400</v>
      </c>
      <c r="V114" s="562"/>
    </row>
    <row r="115" spans="1:22" x14ac:dyDescent="0.25">
      <c r="A115" s="577" t="s">
        <v>142</v>
      </c>
      <c r="B115" s="576" t="s">
        <v>1</v>
      </c>
      <c r="C115" s="576" t="s">
        <v>208</v>
      </c>
      <c r="D115" s="529">
        <v>100</v>
      </c>
      <c r="E115" s="571" t="s">
        <v>195</v>
      </c>
      <c r="F115" s="567">
        <f t="shared" si="27"/>
        <v>100</v>
      </c>
      <c r="G115" s="560"/>
      <c r="H115" s="568" t="s">
        <v>218</v>
      </c>
      <c r="I115" s="567">
        <f t="shared" si="28"/>
        <v>100</v>
      </c>
      <c r="J115" s="562"/>
      <c r="K115" s="568" t="s">
        <v>218</v>
      </c>
      <c r="L115" s="567">
        <f t="shared" si="29"/>
        <v>100</v>
      </c>
      <c r="M115" s="562"/>
      <c r="N115" s="568" t="s">
        <v>218</v>
      </c>
      <c r="O115" s="567">
        <f t="shared" si="32"/>
        <v>100</v>
      </c>
      <c r="P115" s="534"/>
      <c r="Q115" s="568" t="s">
        <v>218</v>
      </c>
      <c r="R115" s="567">
        <f t="shared" si="30"/>
        <v>100</v>
      </c>
      <c r="S115" s="562"/>
      <c r="T115" s="568" t="s">
        <v>218</v>
      </c>
      <c r="U115" s="567">
        <f t="shared" si="31"/>
        <v>100</v>
      </c>
      <c r="V115" s="562"/>
    </row>
    <row r="116" spans="1:22" x14ac:dyDescent="0.25">
      <c r="A116" s="577" t="s">
        <v>143</v>
      </c>
      <c r="B116" s="576" t="s">
        <v>1</v>
      </c>
      <c r="C116" s="576" t="s">
        <v>208</v>
      </c>
      <c r="D116" s="529">
        <v>100</v>
      </c>
      <c r="E116" s="571" t="s">
        <v>195</v>
      </c>
      <c r="F116" s="567">
        <f t="shared" si="27"/>
        <v>100</v>
      </c>
      <c r="G116" s="560"/>
      <c r="H116" s="568" t="s">
        <v>218</v>
      </c>
      <c r="I116" s="567">
        <f t="shared" si="28"/>
        <v>100</v>
      </c>
      <c r="J116" s="562"/>
      <c r="K116" s="568" t="s">
        <v>218</v>
      </c>
      <c r="L116" s="567">
        <f t="shared" si="29"/>
        <v>100</v>
      </c>
      <c r="M116" s="562"/>
      <c r="N116" s="568" t="s">
        <v>218</v>
      </c>
      <c r="O116" s="567">
        <f t="shared" si="32"/>
        <v>100</v>
      </c>
      <c r="P116" s="534"/>
      <c r="Q116" s="568" t="s">
        <v>218</v>
      </c>
      <c r="R116" s="567">
        <f t="shared" si="30"/>
        <v>100</v>
      </c>
      <c r="S116" s="562"/>
      <c r="T116" s="568" t="s">
        <v>218</v>
      </c>
      <c r="U116" s="567">
        <f t="shared" si="31"/>
        <v>100</v>
      </c>
      <c r="V116" s="562"/>
    </row>
    <row r="117" spans="1:22" x14ac:dyDescent="0.25">
      <c r="A117" s="577" t="s">
        <v>251</v>
      </c>
      <c r="B117" s="576" t="s">
        <v>1</v>
      </c>
      <c r="C117" s="576" t="s">
        <v>122</v>
      </c>
      <c r="D117" s="529">
        <v>32</v>
      </c>
      <c r="E117" s="571" t="s">
        <v>195</v>
      </c>
      <c r="F117" s="567">
        <f t="shared" si="27"/>
        <v>32</v>
      </c>
      <c r="G117" s="560"/>
      <c r="H117" s="568" t="s">
        <v>218</v>
      </c>
      <c r="I117" s="567">
        <f t="shared" si="28"/>
        <v>32</v>
      </c>
      <c r="J117" s="562"/>
      <c r="K117" s="568" t="s">
        <v>218</v>
      </c>
      <c r="L117" s="567">
        <f t="shared" si="29"/>
        <v>32</v>
      </c>
      <c r="M117" s="562"/>
      <c r="N117" s="568" t="s">
        <v>218</v>
      </c>
      <c r="O117" s="567">
        <f t="shared" si="32"/>
        <v>32</v>
      </c>
      <c r="P117" s="534"/>
      <c r="Q117" s="568" t="s">
        <v>218</v>
      </c>
      <c r="R117" s="567">
        <f t="shared" si="30"/>
        <v>32</v>
      </c>
      <c r="S117" s="562"/>
      <c r="T117" s="568" t="s">
        <v>218</v>
      </c>
      <c r="U117" s="567">
        <f t="shared" si="31"/>
        <v>32</v>
      </c>
      <c r="V117" s="562"/>
    </row>
    <row r="118" spans="1:22" x14ac:dyDescent="0.25">
      <c r="A118" s="577" t="s">
        <v>252</v>
      </c>
      <c r="B118" s="576" t="s">
        <v>1</v>
      </c>
      <c r="C118" s="576" t="s">
        <v>122</v>
      </c>
      <c r="D118" s="529">
        <v>32</v>
      </c>
      <c r="E118" s="571" t="s">
        <v>195</v>
      </c>
      <c r="F118" s="567">
        <f t="shared" si="27"/>
        <v>32</v>
      </c>
      <c r="G118" s="560"/>
      <c r="H118" s="568" t="s">
        <v>218</v>
      </c>
      <c r="I118" s="567">
        <f t="shared" si="28"/>
        <v>32</v>
      </c>
      <c r="J118" s="562"/>
      <c r="K118" s="568" t="s">
        <v>218</v>
      </c>
      <c r="L118" s="567">
        <f t="shared" si="29"/>
        <v>32</v>
      </c>
      <c r="M118" s="562"/>
      <c r="N118" s="568" t="s">
        <v>218</v>
      </c>
      <c r="O118" s="567">
        <f t="shared" si="32"/>
        <v>32</v>
      </c>
      <c r="P118" s="534"/>
      <c r="Q118" s="568" t="s">
        <v>218</v>
      </c>
      <c r="R118" s="567">
        <f t="shared" si="30"/>
        <v>32</v>
      </c>
      <c r="S118" s="562"/>
      <c r="T118" s="568" t="s">
        <v>218</v>
      </c>
      <c r="U118" s="567">
        <f t="shared" si="31"/>
        <v>32</v>
      </c>
      <c r="V118" s="562"/>
    </row>
    <row r="119" spans="1:22" x14ac:dyDescent="0.25">
      <c r="A119" s="577" t="s">
        <v>146</v>
      </c>
      <c r="B119" s="578" t="s">
        <v>1</v>
      </c>
      <c r="C119" s="578" t="s">
        <v>159</v>
      </c>
      <c r="D119" s="579">
        <v>500</v>
      </c>
      <c r="E119" s="580" t="s">
        <v>195</v>
      </c>
      <c r="F119" s="581">
        <f t="shared" si="27"/>
        <v>500</v>
      </c>
      <c r="G119" s="560"/>
      <c r="H119" s="568" t="s">
        <v>218</v>
      </c>
      <c r="I119" s="567">
        <f t="shared" si="28"/>
        <v>500</v>
      </c>
      <c r="J119" s="562"/>
      <c r="K119" s="568" t="s">
        <v>218</v>
      </c>
      <c r="L119" s="567">
        <f t="shared" si="29"/>
        <v>500</v>
      </c>
      <c r="M119" s="562"/>
      <c r="N119" s="568" t="s">
        <v>219</v>
      </c>
      <c r="O119" s="567">
        <f t="shared" si="32"/>
        <v>0</v>
      </c>
      <c r="P119" s="534"/>
      <c r="Q119" s="568" t="s">
        <v>219</v>
      </c>
      <c r="R119" s="567">
        <f t="shared" si="30"/>
        <v>0</v>
      </c>
      <c r="S119" s="562"/>
      <c r="T119" s="568" t="s">
        <v>219</v>
      </c>
      <c r="U119" s="567">
        <f t="shared" si="31"/>
        <v>0</v>
      </c>
      <c r="V119" s="562"/>
    </row>
    <row r="120" spans="1:22" x14ac:dyDescent="0.25">
      <c r="A120" s="577" t="s">
        <v>145</v>
      </c>
      <c r="B120" s="578" t="s">
        <v>1</v>
      </c>
      <c r="C120" s="578" t="s">
        <v>209</v>
      </c>
      <c r="D120" s="579">
        <v>275</v>
      </c>
      <c r="E120" s="580" t="s">
        <v>195</v>
      </c>
      <c r="F120" s="581">
        <f t="shared" si="27"/>
        <v>275</v>
      </c>
      <c r="G120" s="560"/>
      <c r="H120" s="568" t="s">
        <v>218</v>
      </c>
      <c r="I120" s="567">
        <f t="shared" si="28"/>
        <v>275</v>
      </c>
      <c r="J120" s="562"/>
      <c r="K120" s="568" t="s">
        <v>218</v>
      </c>
      <c r="L120" s="567">
        <f t="shared" si="29"/>
        <v>275</v>
      </c>
      <c r="M120" s="562"/>
      <c r="N120" s="568" t="s">
        <v>219</v>
      </c>
      <c r="O120" s="567">
        <f t="shared" si="32"/>
        <v>0</v>
      </c>
      <c r="P120" s="534"/>
      <c r="Q120" s="568" t="s">
        <v>218</v>
      </c>
      <c r="R120" s="567">
        <f t="shared" si="30"/>
        <v>275</v>
      </c>
      <c r="S120" s="562"/>
      <c r="T120" s="568" t="s">
        <v>219</v>
      </c>
      <c r="U120" s="567">
        <f t="shared" si="31"/>
        <v>0</v>
      </c>
      <c r="V120" s="562"/>
    </row>
    <row r="121" spans="1:22" x14ac:dyDescent="0.25">
      <c r="A121" s="569" t="s">
        <v>155</v>
      </c>
      <c r="B121" s="329" t="s">
        <v>2</v>
      </c>
      <c r="C121" s="582" t="s">
        <v>210</v>
      </c>
      <c r="D121" s="529">
        <v>1000</v>
      </c>
      <c r="E121" s="571" t="s">
        <v>197</v>
      </c>
      <c r="F121" s="567">
        <f t="shared" si="27"/>
        <v>83.333333333333329</v>
      </c>
      <c r="G121" s="560"/>
      <c r="H121" s="568" t="s">
        <v>218</v>
      </c>
      <c r="I121" s="567">
        <f t="shared" si="28"/>
        <v>83.333333333333329</v>
      </c>
      <c r="J121" s="562"/>
      <c r="K121" s="568" t="s">
        <v>218</v>
      </c>
      <c r="L121" s="567">
        <f t="shared" si="29"/>
        <v>83.333333333333329</v>
      </c>
      <c r="M121" s="562"/>
      <c r="N121" s="568" t="s">
        <v>218</v>
      </c>
      <c r="O121" s="567">
        <f t="shared" si="32"/>
        <v>83.333333333333329</v>
      </c>
      <c r="P121" s="534"/>
      <c r="Q121" s="568" t="s">
        <v>218</v>
      </c>
      <c r="R121" s="567">
        <f t="shared" si="30"/>
        <v>83.333333333333329</v>
      </c>
      <c r="S121" s="562"/>
      <c r="T121" s="568" t="s">
        <v>218</v>
      </c>
      <c r="U121" s="567">
        <f t="shared" si="31"/>
        <v>83.333333333333329</v>
      </c>
      <c r="V121" s="562"/>
    </row>
    <row r="122" spans="1:22" x14ac:dyDescent="0.25">
      <c r="A122" s="569" t="s">
        <v>153</v>
      </c>
      <c r="B122" s="329" t="s">
        <v>2</v>
      </c>
      <c r="C122" s="582" t="s">
        <v>211</v>
      </c>
      <c r="D122" s="529">
        <v>500</v>
      </c>
      <c r="E122" s="571" t="s">
        <v>197</v>
      </c>
      <c r="F122" s="567">
        <f t="shared" si="27"/>
        <v>41.666666666666664</v>
      </c>
      <c r="G122" s="560"/>
      <c r="H122" s="568" t="s">
        <v>218</v>
      </c>
      <c r="I122" s="567">
        <f t="shared" si="28"/>
        <v>41.666666666666664</v>
      </c>
      <c r="J122" s="562"/>
      <c r="K122" s="568" t="s">
        <v>218</v>
      </c>
      <c r="L122" s="567">
        <f t="shared" si="29"/>
        <v>41.666666666666664</v>
      </c>
      <c r="M122" s="562"/>
      <c r="N122" s="568" t="s">
        <v>218</v>
      </c>
      <c r="O122" s="567">
        <f t="shared" si="32"/>
        <v>41.666666666666664</v>
      </c>
      <c r="P122" s="534"/>
      <c r="Q122" s="568" t="s">
        <v>218</v>
      </c>
      <c r="R122" s="567">
        <f t="shared" si="30"/>
        <v>41.666666666666664</v>
      </c>
      <c r="S122" s="562"/>
      <c r="T122" s="568" t="s">
        <v>218</v>
      </c>
      <c r="U122" s="567">
        <f t="shared" si="31"/>
        <v>41.666666666666664</v>
      </c>
      <c r="V122" s="562"/>
    </row>
    <row r="123" spans="1:22" x14ac:dyDescent="0.25">
      <c r="A123" s="569" t="s">
        <v>253</v>
      </c>
      <c r="B123" s="329" t="s">
        <v>2</v>
      </c>
      <c r="C123" s="582" t="s">
        <v>213</v>
      </c>
      <c r="D123" s="529">
        <v>1000</v>
      </c>
      <c r="E123" s="571" t="s">
        <v>197</v>
      </c>
      <c r="F123" s="567">
        <f t="shared" si="27"/>
        <v>83.333333333333329</v>
      </c>
      <c r="G123" s="560"/>
      <c r="H123" s="568" t="s">
        <v>218</v>
      </c>
      <c r="I123" s="567">
        <f t="shared" si="28"/>
        <v>83.333333333333329</v>
      </c>
      <c r="J123" s="562"/>
      <c r="K123" s="568" t="s">
        <v>218</v>
      </c>
      <c r="L123" s="567">
        <f t="shared" si="29"/>
        <v>83.333333333333329</v>
      </c>
      <c r="M123" s="562"/>
      <c r="N123" s="568" t="s">
        <v>218</v>
      </c>
      <c r="O123" s="567">
        <f t="shared" si="32"/>
        <v>83.333333333333329</v>
      </c>
      <c r="P123" s="534"/>
      <c r="Q123" s="568" t="s">
        <v>218</v>
      </c>
      <c r="R123" s="567">
        <f t="shared" si="30"/>
        <v>83.333333333333329</v>
      </c>
      <c r="S123" s="562"/>
      <c r="T123" s="568" t="s">
        <v>218</v>
      </c>
      <c r="U123" s="567">
        <f t="shared" si="31"/>
        <v>83.333333333333329</v>
      </c>
      <c r="V123" s="562"/>
    </row>
    <row r="124" spans="1:22" x14ac:dyDescent="0.25">
      <c r="A124" s="569" t="s">
        <v>254</v>
      </c>
      <c r="B124" s="329" t="s">
        <v>2</v>
      </c>
      <c r="C124" s="582" t="s">
        <v>181</v>
      </c>
      <c r="D124" s="529">
        <v>2000</v>
      </c>
      <c r="E124" s="571" t="s">
        <v>197</v>
      </c>
      <c r="F124" s="567">
        <f t="shared" si="27"/>
        <v>166.66666666666666</v>
      </c>
      <c r="G124" s="560"/>
      <c r="H124" s="568" t="s">
        <v>218</v>
      </c>
      <c r="I124" s="567">
        <f t="shared" si="28"/>
        <v>166.66666666666666</v>
      </c>
      <c r="J124" s="562"/>
      <c r="K124" s="568" t="s">
        <v>218</v>
      </c>
      <c r="L124" s="567">
        <f t="shared" si="29"/>
        <v>166.66666666666666</v>
      </c>
      <c r="M124" s="562"/>
      <c r="N124" s="568" t="s">
        <v>218</v>
      </c>
      <c r="O124" s="567">
        <f t="shared" si="32"/>
        <v>166.66666666666666</v>
      </c>
      <c r="P124" s="534"/>
      <c r="Q124" s="568" t="s">
        <v>218</v>
      </c>
      <c r="R124" s="567">
        <f t="shared" si="30"/>
        <v>166.66666666666666</v>
      </c>
      <c r="S124" s="562"/>
      <c r="T124" s="568" t="s">
        <v>218</v>
      </c>
      <c r="U124" s="567">
        <f t="shared" si="31"/>
        <v>166.66666666666666</v>
      </c>
      <c r="V124" s="562"/>
    </row>
    <row r="125" spans="1:22" x14ac:dyDescent="0.25">
      <c r="A125" s="569" t="s">
        <v>255</v>
      </c>
      <c r="B125" s="329" t="s">
        <v>2</v>
      </c>
      <c r="C125" s="582" t="s">
        <v>212</v>
      </c>
      <c r="D125" s="529">
        <v>500</v>
      </c>
      <c r="E125" s="571" t="s">
        <v>197</v>
      </c>
      <c r="F125" s="567">
        <f t="shared" si="27"/>
        <v>41.666666666666664</v>
      </c>
      <c r="G125" s="560"/>
      <c r="H125" s="583" t="s">
        <v>218</v>
      </c>
      <c r="I125" s="581">
        <f t="shared" si="28"/>
        <v>41.666666666666664</v>
      </c>
      <c r="J125" s="562"/>
      <c r="K125" s="583" t="s">
        <v>218</v>
      </c>
      <c r="L125" s="581">
        <f t="shared" si="29"/>
        <v>41.666666666666664</v>
      </c>
      <c r="M125" s="562"/>
      <c r="N125" s="583" t="s">
        <v>218</v>
      </c>
      <c r="O125" s="581">
        <f t="shared" si="32"/>
        <v>41.666666666666664</v>
      </c>
      <c r="P125" s="534"/>
      <c r="Q125" s="583" t="s">
        <v>218</v>
      </c>
      <c r="R125" s="567">
        <f t="shared" si="30"/>
        <v>41.666666666666664</v>
      </c>
      <c r="S125" s="562"/>
      <c r="T125" s="583" t="s">
        <v>218</v>
      </c>
      <c r="U125" s="567">
        <f t="shared" si="31"/>
        <v>41.666666666666664</v>
      </c>
      <c r="V125" s="562"/>
    </row>
    <row r="126" spans="1:22" ht="15.75" thickBot="1" x14ac:dyDescent="0.3">
      <c r="A126" s="584" t="s">
        <v>158</v>
      </c>
      <c r="B126" s="585" t="s">
        <v>2</v>
      </c>
      <c r="C126" s="304" t="s">
        <v>158</v>
      </c>
      <c r="D126" s="586">
        <v>800</v>
      </c>
      <c r="E126" s="587" t="s">
        <v>197</v>
      </c>
      <c r="F126" s="588">
        <f t="shared" si="27"/>
        <v>66.666666666666671</v>
      </c>
      <c r="G126" s="560"/>
      <c r="H126" s="589" t="s">
        <v>218</v>
      </c>
      <c r="I126" s="588">
        <f t="shared" si="28"/>
        <v>66.666666666666671</v>
      </c>
      <c r="J126" s="562"/>
      <c r="K126" s="589" t="s">
        <v>218</v>
      </c>
      <c r="L126" s="588">
        <f t="shared" si="29"/>
        <v>66.666666666666671</v>
      </c>
      <c r="M126" s="562"/>
      <c r="N126" s="589" t="s">
        <v>218</v>
      </c>
      <c r="O126" s="588">
        <f t="shared" si="32"/>
        <v>66.666666666666671</v>
      </c>
      <c r="P126" s="534"/>
      <c r="Q126" s="589" t="s">
        <v>218</v>
      </c>
      <c r="R126" s="588">
        <f t="shared" si="30"/>
        <v>66.666666666666671</v>
      </c>
      <c r="S126" s="562"/>
      <c r="T126" s="589" t="s">
        <v>218</v>
      </c>
      <c r="U126" s="588">
        <f t="shared" si="31"/>
        <v>66.666666666666671</v>
      </c>
      <c r="V126" s="562"/>
    </row>
    <row r="127" spans="1:22" ht="14.25" customHeight="1" thickBot="1" x14ac:dyDescent="0.3">
      <c r="D127" s="590"/>
      <c r="E127" s="590"/>
      <c r="F127" s="542">
        <f>SUBTOTAL(9,F41:F126)</f>
        <v>5545.7433333333338</v>
      </c>
      <c r="G127" s="526"/>
      <c r="H127" s="591"/>
      <c r="I127" s="592">
        <f>SUBTOTAL(9,I41:I126)</f>
        <v>4973.4933333333347</v>
      </c>
      <c r="J127" s="593"/>
      <c r="K127" s="591"/>
      <c r="L127" s="592">
        <f>SUBTOTAL(9,L41:L126)</f>
        <v>4973.4933333333347</v>
      </c>
      <c r="M127" s="593"/>
      <c r="N127" s="591"/>
      <c r="O127" s="594">
        <f>SUBTOTAL(9,O41:O126)</f>
        <v>2915.4933333333329</v>
      </c>
      <c r="P127" s="595"/>
      <c r="Q127" s="591"/>
      <c r="R127" s="592">
        <f>SUBTOTAL(9,R41:R126)</f>
        <v>4415.4100000000017</v>
      </c>
      <c r="S127" s="593"/>
      <c r="T127" s="591"/>
      <c r="U127" s="592">
        <f>SUBTOTAL(9,U41:U126)</f>
        <v>4140.4100000000008</v>
      </c>
      <c r="V127" s="593"/>
    </row>
  </sheetData>
  <autoFilter ref="A40:V40" xr:uid="{00000000-0009-0000-0000-000002000000}"/>
  <mergeCells count="5">
    <mergeCell ref="H2:J6"/>
    <mergeCell ref="N2:P6"/>
    <mergeCell ref="Q2:S6"/>
    <mergeCell ref="T2:V6"/>
    <mergeCell ref="K2:M6"/>
  </mergeCells>
  <conditionalFormatting sqref="D7:D12">
    <cfRule type="colorScale" priority="27">
      <colorScale>
        <cfvo type="min"/>
        <cfvo type="max"/>
        <color rgb="FFFCFCFF"/>
        <color rgb="FF92D050"/>
      </colorScale>
    </cfRule>
  </conditionalFormatting>
  <conditionalFormatting sqref="F7:F13">
    <cfRule type="colorScale" priority="30">
      <colorScale>
        <cfvo type="min"/>
        <cfvo type="max"/>
        <color rgb="FFFCFCFF"/>
        <color rgb="FF92D050"/>
      </colorScale>
    </cfRule>
  </conditionalFormatting>
  <conditionalFormatting sqref="F41:G126">
    <cfRule type="colorScale" priority="35">
      <colorScale>
        <cfvo type="min"/>
        <cfvo type="max"/>
        <color rgb="FFFCFCFF"/>
        <color rgb="FFF8696B"/>
      </colorScale>
    </cfRule>
  </conditionalFormatting>
  <conditionalFormatting sqref="H41:H126 N41:N126 Q41:Q126">
    <cfRule type="cellIs" dxfId="6" priority="26" operator="equal">
      <formula>"SI"</formula>
    </cfRule>
  </conditionalFormatting>
  <conditionalFormatting sqref="I7:I13">
    <cfRule type="colorScale" priority="29">
      <colorScale>
        <cfvo type="min"/>
        <cfvo type="max"/>
        <color rgb="FFFCFCFF"/>
        <color rgb="FF92D050"/>
      </colorScale>
    </cfRule>
  </conditionalFormatting>
  <conditionalFormatting sqref="I41:I126">
    <cfRule type="colorScale" priority="36">
      <colorScale>
        <cfvo type="min"/>
        <cfvo type="max"/>
        <color rgb="FFFCFCFF"/>
        <color rgb="FFF8696B"/>
      </colorScale>
    </cfRule>
  </conditionalFormatting>
  <conditionalFormatting sqref="J13">
    <cfRule type="colorScale" priority="5">
      <colorScale>
        <cfvo type="min"/>
        <cfvo type="max"/>
        <color rgb="FFFCFCFF"/>
        <color rgb="FF92D050"/>
      </colorScale>
    </cfRule>
  </conditionalFormatting>
  <conditionalFormatting sqref="J59 M59">
    <cfRule type="colorScale" priority="32">
      <colorScale>
        <cfvo type="min"/>
        <cfvo type="max"/>
        <color rgb="FFFCFCFF"/>
        <color rgb="FFF8696B"/>
      </colorScale>
    </cfRule>
  </conditionalFormatting>
  <conditionalFormatting sqref="J60:J78 J41:J43 J80:J104 J45:J58 J106:J126 M60:M78 M41:M43 M80:M104 M45:M58 M106:M126">
    <cfRule type="colorScale" priority="37">
      <colorScale>
        <cfvo type="min"/>
        <cfvo type="max"/>
        <color rgb="FFFCFCFF"/>
        <color rgb="FFF8696B"/>
      </colorScale>
    </cfRule>
  </conditionalFormatting>
  <conditionalFormatting sqref="J79 M79">
    <cfRule type="colorScale" priority="33">
      <colorScale>
        <cfvo type="min"/>
        <cfvo type="max"/>
        <color rgb="FFFCFCFF"/>
        <color rgb="FFF8696B"/>
      </colorScale>
    </cfRule>
  </conditionalFormatting>
  <conditionalFormatting sqref="J105 M105">
    <cfRule type="colorScale" priority="34">
      <colorScale>
        <cfvo type="min"/>
        <cfvo type="max"/>
        <color rgb="FFFCFCFF"/>
        <color rgb="FFF8696B"/>
      </colorScale>
    </cfRule>
  </conditionalFormatting>
  <conditionalFormatting sqref="K41:K126">
    <cfRule type="cellIs" dxfId="5" priority="6" operator="equal">
      <formula>"SI"</formula>
    </cfRule>
  </conditionalFormatting>
  <conditionalFormatting sqref="L7:L13">
    <cfRule type="colorScale" priority="2">
      <colorScale>
        <cfvo type="min"/>
        <cfvo type="max"/>
        <color rgb="FFFCFCFF"/>
        <color rgb="FF92D050"/>
      </colorScale>
    </cfRule>
  </conditionalFormatting>
  <conditionalFormatting sqref="L41:L126">
    <cfRule type="colorScale" priority="7">
      <colorScale>
        <cfvo type="min"/>
        <cfvo type="max"/>
        <color rgb="FFFCFCFF"/>
        <color rgb="FFF8696B"/>
      </colorScale>
    </cfRule>
  </conditionalFormatting>
  <conditionalFormatting sqref="M13">
    <cfRule type="colorScale" priority="1">
      <colorScale>
        <cfvo type="min"/>
        <cfvo type="max"/>
        <color rgb="FFFCFCFF"/>
        <color rgb="FF92D050"/>
      </colorScale>
    </cfRule>
  </conditionalFormatting>
  <conditionalFormatting sqref="M44 J44">
    <cfRule type="colorScale" priority="31">
      <colorScale>
        <cfvo type="min"/>
        <cfvo type="max"/>
        <color rgb="FFFCFCFF"/>
        <color rgb="FFF8696B"/>
      </colorScale>
    </cfRule>
  </conditionalFormatting>
  <conditionalFormatting sqref="O7:O13">
    <cfRule type="colorScale" priority="28">
      <colorScale>
        <cfvo type="min"/>
        <cfvo type="max"/>
        <color rgb="FFFCFCFF"/>
        <color rgb="FF92D050"/>
      </colorScale>
    </cfRule>
  </conditionalFormatting>
  <conditionalFormatting sqref="O41:O126">
    <cfRule type="colorScale" priority="38">
      <colorScale>
        <cfvo type="min"/>
        <cfvo type="max"/>
        <color rgb="FFFCFCFF"/>
        <color rgb="FFF8696B"/>
      </colorScale>
    </cfRule>
  </conditionalFormatting>
  <conditionalFormatting sqref="P13">
    <cfRule type="colorScale" priority="19">
      <colorScale>
        <cfvo type="min"/>
        <cfvo type="max"/>
        <color rgb="FFFCFCFF"/>
        <color rgb="FF92D050"/>
      </colorScale>
    </cfRule>
  </conditionalFormatting>
  <conditionalFormatting sqref="R7:R13">
    <cfRule type="colorScale" priority="21">
      <colorScale>
        <cfvo type="min"/>
        <cfvo type="max"/>
        <color rgb="FFFCFCFF"/>
        <color rgb="FF92D050"/>
      </colorScale>
    </cfRule>
  </conditionalFormatting>
  <conditionalFormatting sqref="R41:R126">
    <cfRule type="colorScale" priority="39">
      <colorScale>
        <cfvo type="min"/>
        <cfvo type="max"/>
        <color rgb="FFFCFCFF"/>
        <color rgb="FFF8696B"/>
      </colorScale>
    </cfRule>
  </conditionalFormatting>
  <conditionalFormatting sqref="S13">
    <cfRule type="colorScale" priority="18">
      <colorScale>
        <cfvo type="min"/>
        <cfvo type="max"/>
        <color rgb="FFFCFCFF"/>
        <color rgb="FF92D050"/>
      </colorScale>
    </cfRule>
  </conditionalFormatting>
  <conditionalFormatting sqref="S44">
    <cfRule type="colorScale" priority="22">
      <colorScale>
        <cfvo type="min"/>
        <cfvo type="max"/>
        <color rgb="FFFCFCFF"/>
        <color rgb="FFF8696B"/>
      </colorScale>
    </cfRule>
  </conditionalFormatting>
  <conditionalFormatting sqref="S59">
    <cfRule type="colorScale" priority="23">
      <colorScale>
        <cfvo type="min"/>
        <cfvo type="max"/>
        <color rgb="FFFCFCFF"/>
        <color rgb="FFF8696B"/>
      </colorScale>
    </cfRule>
  </conditionalFormatting>
  <conditionalFormatting sqref="S60:S78 S41:S43 S80:S104 S45:S58 S106:S126">
    <cfRule type="colorScale" priority="40">
      <colorScale>
        <cfvo type="min"/>
        <cfvo type="max"/>
        <color rgb="FFFCFCFF"/>
        <color rgb="FFF8696B"/>
      </colorScale>
    </cfRule>
  </conditionalFormatting>
  <conditionalFormatting sqref="S79">
    <cfRule type="colorScale" priority="24">
      <colorScale>
        <cfvo type="min"/>
        <cfvo type="max"/>
        <color rgb="FFFCFCFF"/>
        <color rgb="FFF8696B"/>
      </colorScale>
    </cfRule>
  </conditionalFormatting>
  <conditionalFormatting sqref="S105">
    <cfRule type="colorScale" priority="25">
      <colorScale>
        <cfvo type="min"/>
        <cfvo type="max"/>
        <color rgb="FFFCFCFF"/>
        <color rgb="FFF8696B"/>
      </colorScale>
    </cfRule>
  </conditionalFormatting>
  <conditionalFormatting sqref="T41:T126">
    <cfRule type="cellIs" dxfId="4" priority="15" operator="equal">
      <formula>"SI"</formula>
    </cfRule>
  </conditionalFormatting>
  <conditionalFormatting sqref="U7:U13">
    <cfRule type="colorScale" priority="10">
      <colorScale>
        <cfvo type="min"/>
        <cfvo type="max"/>
        <color rgb="FFFCFCFF"/>
        <color rgb="FF92D050"/>
      </colorScale>
    </cfRule>
  </conditionalFormatting>
  <conditionalFormatting sqref="U41:U126">
    <cfRule type="colorScale" priority="16">
      <colorScale>
        <cfvo type="min"/>
        <cfvo type="max"/>
        <color rgb="FFFCFCFF"/>
        <color rgb="FFF8696B"/>
      </colorScale>
    </cfRule>
  </conditionalFormatting>
  <conditionalFormatting sqref="V13">
    <cfRule type="colorScale" priority="9">
      <colorScale>
        <cfvo type="min"/>
        <cfvo type="max"/>
        <color rgb="FFFCFCFF"/>
        <color rgb="FF92D050"/>
      </colorScale>
    </cfRule>
  </conditionalFormatting>
  <conditionalFormatting sqref="V44">
    <cfRule type="colorScale" priority="11">
      <colorScale>
        <cfvo type="min"/>
        <cfvo type="max"/>
        <color rgb="FFFCFCFF"/>
        <color rgb="FFF8696B"/>
      </colorScale>
    </cfRule>
  </conditionalFormatting>
  <conditionalFormatting sqref="V59">
    <cfRule type="colorScale" priority="12">
      <colorScale>
        <cfvo type="min"/>
        <cfvo type="max"/>
        <color rgb="FFFCFCFF"/>
        <color rgb="FFF8696B"/>
      </colorScale>
    </cfRule>
  </conditionalFormatting>
  <conditionalFormatting sqref="V60:V78 V41:V43 V80:V104 V45:V58 V106:V126">
    <cfRule type="colorScale" priority="17">
      <colorScale>
        <cfvo type="min"/>
        <cfvo type="max"/>
        <color rgb="FFFCFCFF"/>
        <color rgb="FFF8696B"/>
      </colorScale>
    </cfRule>
  </conditionalFormatting>
  <conditionalFormatting sqref="V79">
    <cfRule type="colorScale" priority="13">
      <colorScale>
        <cfvo type="min"/>
        <cfvo type="max"/>
        <color rgb="FFFCFCFF"/>
        <color rgb="FFF8696B"/>
      </colorScale>
    </cfRule>
  </conditionalFormatting>
  <conditionalFormatting sqref="V105">
    <cfRule type="colorScale" priority="14">
      <colorScale>
        <cfvo type="min"/>
        <cfvo type="max"/>
        <color rgb="FFFCFCFF"/>
        <color rgb="FFF8696B"/>
      </colorScale>
    </cfRule>
  </conditionalFormatting>
  <pageMargins left="0.7" right="0.7" top="0.75" bottom="0.75" header="0.511811023622047" footer="0.511811023622047"/>
  <pageSetup paperSize="8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5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6" sqref="P16"/>
    </sheetView>
  </sheetViews>
  <sheetFormatPr baseColWidth="10" defaultColWidth="11.42578125" defaultRowHeight="15" x14ac:dyDescent="0.25"/>
  <cols>
    <col min="1" max="1" width="37.42578125" style="523" customWidth="1"/>
    <col min="2" max="13" width="11.42578125" style="523"/>
    <col min="14" max="16" width="14.28515625" style="523" customWidth="1"/>
    <col min="17" max="17" width="14.5703125" style="523" bestFit="1" customWidth="1"/>
    <col min="18" max="18" width="12.5703125" style="523" customWidth="1"/>
    <col min="19" max="19" width="8.85546875" style="523" bestFit="1" customWidth="1"/>
    <col min="20" max="16384" width="11.42578125" style="523"/>
  </cols>
  <sheetData>
    <row r="1" spans="1:18" ht="15.75" thickBot="1" x14ac:dyDescent="0.3">
      <c r="B1" s="596" t="s">
        <v>39</v>
      </c>
      <c r="C1" s="551" t="s">
        <v>40</v>
      </c>
      <c r="D1" s="551" t="s">
        <v>41</v>
      </c>
      <c r="E1" s="551" t="s">
        <v>42</v>
      </c>
      <c r="F1" s="551" t="s">
        <v>43</v>
      </c>
      <c r="G1" s="551" t="s">
        <v>44</v>
      </c>
      <c r="H1" s="551" t="s">
        <v>45</v>
      </c>
      <c r="I1" s="551" t="s">
        <v>46</v>
      </c>
      <c r="J1" s="551" t="s">
        <v>47</v>
      </c>
      <c r="K1" s="551" t="s">
        <v>48</v>
      </c>
      <c r="L1" s="551" t="s">
        <v>49</v>
      </c>
      <c r="M1" s="551" t="s">
        <v>50</v>
      </c>
    </row>
    <row r="2" spans="1:18" ht="15.75" thickBot="1" x14ac:dyDescent="0.3">
      <c r="A2" s="597" t="s">
        <v>256</v>
      </c>
      <c r="B2" s="598" t="s">
        <v>395</v>
      </c>
      <c r="C2" s="599" t="s">
        <v>395</v>
      </c>
      <c r="D2" s="599" t="s">
        <v>395</v>
      </c>
      <c r="E2" s="599" t="s">
        <v>395</v>
      </c>
      <c r="F2" s="599" t="s">
        <v>395</v>
      </c>
      <c r="G2" s="599" t="s">
        <v>395</v>
      </c>
      <c r="H2" s="599" t="s">
        <v>395</v>
      </c>
      <c r="I2" s="599" t="s">
        <v>395</v>
      </c>
      <c r="J2" s="599" t="s">
        <v>257</v>
      </c>
      <c r="K2" s="599" t="s">
        <v>257</v>
      </c>
      <c r="L2" s="599" t="s">
        <v>257</v>
      </c>
      <c r="M2" s="600" t="s">
        <v>257</v>
      </c>
    </row>
    <row r="3" spans="1:18" ht="15.75" thickBot="1" x14ac:dyDescent="0.3"/>
    <row r="4" spans="1:18" x14ac:dyDescent="0.25">
      <c r="A4" s="620" t="s">
        <v>337</v>
      </c>
      <c r="B4" s="626">
        <v>0</v>
      </c>
      <c r="C4" s="626">
        <v>0</v>
      </c>
      <c r="D4" s="626">
        <v>1600</v>
      </c>
      <c r="E4" s="626">
        <v>2700</v>
      </c>
      <c r="F4" s="626">
        <v>0</v>
      </c>
      <c r="G4" s="626">
        <v>1300</v>
      </c>
      <c r="H4" s="626">
        <v>1000</v>
      </c>
      <c r="I4" s="626">
        <v>0</v>
      </c>
      <c r="J4" s="626">
        <v>0</v>
      </c>
      <c r="K4" s="626">
        <v>0</v>
      </c>
      <c r="L4" s="626">
        <v>0</v>
      </c>
      <c r="M4" s="626">
        <v>0</v>
      </c>
      <c r="N4" s="621">
        <f>SUM(B4:M4)</f>
        <v>6600</v>
      </c>
    </row>
    <row r="5" spans="1:18" x14ac:dyDescent="0.25">
      <c r="A5" s="622" t="s">
        <v>343</v>
      </c>
      <c r="B5" s="628">
        <f>'GASTOS '!E131</f>
        <v>345.24</v>
      </c>
      <c r="C5" s="628">
        <f>'GASTOS '!K131</f>
        <v>0</v>
      </c>
      <c r="D5" s="628">
        <f>'GASTOS '!Q131</f>
        <v>1606</v>
      </c>
      <c r="E5" s="628">
        <f>'GASTOS '!W131</f>
        <v>2700</v>
      </c>
      <c r="F5" s="628">
        <f>'GASTOS '!AC131</f>
        <v>119.25</v>
      </c>
      <c r="G5" s="628">
        <f>'GASTOS '!AI131</f>
        <v>1338.3</v>
      </c>
      <c r="H5" s="628">
        <f>'GASTOS '!AO131</f>
        <v>1188.0899999999999</v>
      </c>
      <c r="I5" s="628">
        <f>'GASTOS '!AU131</f>
        <v>0</v>
      </c>
      <c r="J5" s="628">
        <f>'GASTOS '!BO131</f>
        <v>0</v>
      </c>
      <c r="K5" s="628">
        <f>'GASTOS '!BG131</f>
        <v>0</v>
      </c>
      <c r="L5" s="628">
        <f>'GASTOS '!BM131</f>
        <v>0</v>
      </c>
      <c r="M5" s="628">
        <f>'GASTOS '!BS131</f>
        <v>0</v>
      </c>
      <c r="N5" s="623">
        <f>SUM(B5:M5)</f>
        <v>7296.88</v>
      </c>
    </row>
    <row r="6" spans="1:18" ht="15.75" thickBot="1" x14ac:dyDescent="0.3">
      <c r="A6" s="624" t="s">
        <v>539</v>
      </c>
      <c r="B6" s="617">
        <f>B4-B5</f>
        <v>-345.24</v>
      </c>
      <c r="C6" s="586">
        <f t="shared" ref="C6:M6" si="0">C4-C5</f>
        <v>0</v>
      </c>
      <c r="D6" s="586">
        <f t="shared" si="0"/>
        <v>-6</v>
      </c>
      <c r="E6" s="586">
        <f t="shared" si="0"/>
        <v>0</v>
      </c>
      <c r="F6" s="586">
        <f t="shared" si="0"/>
        <v>-119.25</v>
      </c>
      <c r="G6" s="586">
        <f t="shared" si="0"/>
        <v>-38.299999999999955</v>
      </c>
      <c r="H6" s="586">
        <f t="shared" si="0"/>
        <v>-188.08999999999992</v>
      </c>
      <c r="I6" s="586">
        <f t="shared" si="0"/>
        <v>0</v>
      </c>
      <c r="J6" s="586">
        <f t="shared" si="0"/>
        <v>0</v>
      </c>
      <c r="K6" s="586">
        <f t="shared" si="0"/>
        <v>0</v>
      </c>
      <c r="L6" s="586">
        <f t="shared" si="0"/>
        <v>0</v>
      </c>
      <c r="M6" s="588">
        <f t="shared" si="0"/>
        <v>0</v>
      </c>
      <c r="N6" s="625">
        <f>SUM(B6:M6)</f>
        <v>-696.87999999999988</v>
      </c>
    </row>
    <row r="7" spans="1:18" ht="15.75" thickBot="1" x14ac:dyDescent="0.3"/>
    <row r="8" spans="1:18" x14ac:dyDescent="0.25">
      <c r="A8" s="620" t="s">
        <v>264</v>
      </c>
      <c r="B8" s="626">
        <f t="shared" ref="B8:M8" si="1">$N$9/12</f>
        <v>2513.2491666666665</v>
      </c>
      <c r="C8" s="626">
        <f t="shared" si="1"/>
        <v>2513.2491666666665</v>
      </c>
      <c r="D8" s="626">
        <f t="shared" si="1"/>
        <v>2513.2491666666665</v>
      </c>
      <c r="E8" s="626">
        <f t="shared" si="1"/>
        <v>2513.2491666666665</v>
      </c>
      <c r="F8" s="626">
        <f t="shared" si="1"/>
        <v>2513.2491666666665</v>
      </c>
      <c r="G8" s="626">
        <f t="shared" si="1"/>
        <v>2513.2491666666665</v>
      </c>
      <c r="H8" s="626">
        <f t="shared" si="1"/>
        <v>2513.2491666666665</v>
      </c>
      <c r="I8" s="626">
        <f t="shared" si="1"/>
        <v>2513.2491666666665</v>
      </c>
      <c r="J8" s="626">
        <f t="shared" si="1"/>
        <v>2513.2491666666665</v>
      </c>
      <c r="K8" s="626">
        <f t="shared" si="1"/>
        <v>2513.2491666666665</v>
      </c>
      <c r="L8" s="626">
        <f t="shared" si="1"/>
        <v>2513.2491666666665</v>
      </c>
      <c r="M8" s="626">
        <f t="shared" si="1"/>
        <v>2513.2491666666665</v>
      </c>
      <c r="N8" s="621">
        <f>SUM(B8:M8)</f>
        <v>30158.990000000005</v>
      </c>
    </row>
    <row r="9" spans="1:18" x14ac:dyDescent="0.25">
      <c r="A9" s="627" t="s">
        <v>265</v>
      </c>
      <c r="B9" s="628">
        <f>'AÑO 2026'!F99</f>
        <v>2696.4</v>
      </c>
      <c r="C9" s="628">
        <f>'AÑO 2026'!G99</f>
        <v>1338.15</v>
      </c>
      <c r="D9" s="628">
        <f>'AÑO 2026'!H99</f>
        <v>2565.9899999999998</v>
      </c>
      <c r="E9" s="628">
        <f>'AÑO 2026'!I99</f>
        <v>2296.9700000000003</v>
      </c>
      <c r="F9" s="628">
        <f>'AÑO 2026'!J99</f>
        <v>2353.37</v>
      </c>
      <c r="G9" s="628">
        <f>'AÑO 2026'!K99</f>
        <v>2797.81</v>
      </c>
      <c r="H9" s="628">
        <f>'AÑO 2026'!L99</f>
        <v>2189.34</v>
      </c>
      <c r="I9" s="628">
        <f>'AÑO 2026'!M99</f>
        <v>2340.5100000000002</v>
      </c>
      <c r="J9" s="628">
        <f>'AÑO 2026'!N99</f>
        <v>2830.88</v>
      </c>
      <c r="K9" s="628">
        <f>'AÑO 2026'!O99</f>
        <v>2408.8200000000002</v>
      </c>
      <c r="L9" s="628">
        <f>'AÑO 2026'!P99</f>
        <v>2260.08</v>
      </c>
      <c r="M9" s="629">
        <f>'AÑO 2026'!Q99</f>
        <v>4080.6699999999996</v>
      </c>
      <c r="N9" s="623">
        <f>SUM(B9:M9)</f>
        <v>30158.989999999998</v>
      </c>
      <c r="O9" s="523" t="s">
        <v>335</v>
      </c>
    </row>
    <row r="10" spans="1:18" ht="15.75" thickBot="1" x14ac:dyDescent="0.3">
      <c r="A10" s="624" t="s">
        <v>266</v>
      </c>
      <c r="B10" s="617">
        <f t="shared" ref="B10:M10" si="2">B8-B9</f>
        <v>-183.15083333333359</v>
      </c>
      <c r="C10" s="586">
        <f t="shared" si="2"/>
        <v>1175.0991666666664</v>
      </c>
      <c r="D10" s="586">
        <f t="shared" si="2"/>
        <v>-52.740833333333285</v>
      </c>
      <c r="E10" s="586">
        <f t="shared" si="2"/>
        <v>216.27916666666624</v>
      </c>
      <c r="F10" s="586">
        <f t="shared" si="2"/>
        <v>159.87916666666661</v>
      </c>
      <c r="G10" s="586">
        <f t="shared" si="2"/>
        <v>-284.56083333333345</v>
      </c>
      <c r="H10" s="586">
        <f t="shared" si="2"/>
        <v>323.90916666666635</v>
      </c>
      <c r="I10" s="586">
        <f t="shared" si="2"/>
        <v>172.73916666666628</v>
      </c>
      <c r="J10" s="586">
        <f t="shared" si="2"/>
        <v>-317.63083333333361</v>
      </c>
      <c r="K10" s="586">
        <f t="shared" si="2"/>
        <v>104.42916666666633</v>
      </c>
      <c r="L10" s="586">
        <f t="shared" si="2"/>
        <v>253.16916666666657</v>
      </c>
      <c r="M10" s="588">
        <f t="shared" si="2"/>
        <v>-1567.4208333333331</v>
      </c>
      <c r="N10" s="625">
        <f>SUM(B10:M10)</f>
        <v>-2.2737367544323206E-12</v>
      </c>
    </row>
    <row r="11" spans="1:18" ht="15.75" thickBot="1" x14ac:dyDescent="0.3"/>
    <row r="12" spans="1:18" x14ac:dyDescent="0.25">
      <c r="A12" s="620" t="s">
        <v>258</v>
      </c>
      <c r="B12" s="602">
        <v>1400</v>
      </c>
      <c r="C12" s="603">
        <v>1400</v>
      </c>
      <c r="D12" s="603">
        <v>1400</v>
      </c>
      <c r="E12" s="603">
        <v>1400</v>
      </c>
      <c r="F12" s="603">
        <v>1400</v>
      </c>
      <c r="G12" s="603">
        <v>1400</v>
      </c>
      <c r="H12" s="603">
        <v>1400</v>
      </c>
      <c r="I12" s="603">
        <v>1400</v>
      </c>
      <c r="J12" s="603">
        <v>1400</v>
      </c>
      <c r="K12" s="603">
        <v>1400</v>
      </c>
      <c r="L12" s="603">
        <v>1400</v>
      </c>
      <c r="M12" s="604">
        <v>1400</v>
      </c>
      <c r="N12" s="605">
        <f>SUM(B12:M12)</f>
        <v>16800</v>
      </c>
    </row>
    <row r="13" spans="1:18" x14ac:dyDescent="0.25">
      <c r="A13" s="622" t="s">
        <v>260</v>
      </c>
      <c r="B13" s="606">
        <f>'GASTOS '!E130</f>
        <v>1169.8500000000001</v>
      </c>
      <c r="C13" s="607">
        <f>'GASTOS '!K130</f>
        <v>1918.47</v>
      </c>
      <c r="D13" s="607">
        <f>'GASTOS '!Q130</f>
        <v>1667.2200000000003</v>
      </c>
      <c r="E13" s="607">
        <f>'GASTOS '!W130</f>
        <v>1967.9399999999998</v>
      </c>
      <c r="F13" s="607">
        <f>'GASTOS '!AC130</f>
        <v>2295.8500000000008</v>
      </c>
      <c r="G13" s="607">
        <f>'GASTOS '!AI130</f>
        <v>1749.4699999999998</v>
      </c>
      <c r="H13" s="607">
        <f>'GASTOS '!AO130</f>
        <v>2025.8700000000001</v>
      </c>
      <c r="I13" s="607">
        <f>'GASTOS '!AU130</f>
        <v>1626.9100000000008</v>
      </c>
      <c r="J13" s="607">
        <f>'GASTOS '!BA130</f>
        <v>0</v>
      </c>
      <c r="K13" s="607">
        <f>'GASTOS '!BG130</f>
        <v>0</v>
      </c>
      <c r="L13" s="607">
        <f>'GASTOS '!BM130</f>
        <v>0</v>
      </c>
      <c r="M13" s="608">
        <f>'GASTOS '!BS130</f>
        <v>0</v>
      </c>
      <c r="N13" s="609">
        <f>SUM(B13:M13)</f>
        <v>14421.580000000002</v>
      </c>
      <c r="O13" s="610"/>
      <c r="P13" s="610"/>
      <c r="Q13" s="610"/>
      <c r="R13" s="610"/>
    </row>
    <row r="14" spans="1:18" ht="15.75" thickBot="1" x14ac:dyDescent="0.3">
      <c r="A14" s="624" t="s">
        <v>538</v>
      </c>
      <c r="B14" s="616">
        <f>B12-B13</f>
        <v>230.14999999999986</v>
      </c>
      <c r="C14" s="586">
        <f t="shared" ref="C14:M14" si="3">C12-C13</f>
        <v>-518.47</v>
      </c>
      <c r="D14" s="586">
        <f t="shared" si="3"/>
        <v>-267.22000000000025</v>
      </c>
      <c r="E14" s="586">
        <f t="shared" si="3"/>
        <v>-567.93999999999983</v>
      </c>
      <c r="F14" s="586">
        <f t="shared" si="3"/>
        <v>-895.85000000000082</v>
      </c>
      <c r="G14" s="586">
        <f t="shared" si="3"/>
        <v>-349.4699999999998</v>
      </c>
      <c r="H14" s="586">
        <f t="shared" si="3"/>
        <v>-625.87000000000012</v>
      </c>
      <c r="I14" s="586">
        <f t="shared" si="3"/>
        <v>-226.91000000000076</v>
      </c>
      <c r="J14" s="586">
        <f t="shared" si="3"/>
        <v>1400</v>
      </c>
      <c r="K14" s="586">
        <f t="shared" si="3"/>
        <v>1400</v>
      </c>
      <c r="L14" s="586">
        <f t="shared" si="3"/>
        <v>1400</v>
      </c>
      <c r="M14" s="588">
        <f t="shared" si="3"/>
        <v>1400</v>
      </c>
      <c r="N14" s="619">
        <f>SUM(B14:M14)</f>
        <v>2378.4199999999983</v>
      </c>
      <c r="O14" s="610"/>
      <c r="P14" s="610"/>
      <c r="Q14" s="610"/>
      <c r="R14" s="610"/>
    </row>
    <row r="15" spans="1:18" ht="15.75" thickBot="1" x14ac:dyDescent="0.3">
      <c r="A15" s="610"/>
      <c r="B15" s="1108">
        <f>SUM(B13)/1</f>
        <v>1169.8500000000001</v>
      </c>
      <c r="C15" s="1108" cm="1">
        <f t="array" ref="C15">SUM(B13:C13/2)</f>
        <v>1544.16</v>
      </c>
      <c r="D15" s="1108">
        <f>SUM(B13:D13)/3</f>
        <v>1585.1800000000003</v>
      </c>
      <c r="E15" s="1108">
        <f>SUM(B13:E13)/4</f>
        <v>1680.8700000000001</v>
      </c>
      <c r="F15" s="1108">
        <f>SUM(B13:F13)/5</f>
        <v>1803.8660000000004</v>
      </c>
      <c r="G15" s="1108">
        <f>SUM(B13:G13)/6</f>
        <v>1794.8000000000002</v>
      </c>
      <c r="H15" s="1108">
        <f>SUM(B13:H13)/7</f>
        <v>1827.8100000000002</v>
      </c>
      <c r="I15" s="1108">
        <f>SUM(B13:I13)/8</f>
        <v>1802.6975000000002</v>
      </c>
      <c r="J15" s="1108">
        <f>SUM(B13:J13)/9</f>
        <v>1602.3977777777779</v>
      </c>
      <c r="K15" s="1108">
        <f>SUM(B13:K13)/10</f>
        <v>1442.1580000000001</v>
      </c>
      <c r="L15" s="1108">
        <f>SUM(B13:L13)/11</f>
        <v>1311.0527272727275</v>
      </c>
      <c r="M15" s="1108">
        <f>SUM(B13:M13)/12</f>
        <v>1201.7983333333334</v>
      </c>
      <c r="N15" s="610"/>
      <c r="O15" s="610"/>
      <c r="P15" s="610"/>
      <c r="Q15" s="610"/>
      <c r="R15" s="610"/>
    </row>
    <row r="16" spans="1:18" x14ac:dyDescent="0.25">
      <c r="A16" s="601" t="s">
        <v>259</v>
      </c>
      <c r="B16" s="626">
        <f>$N$17/12</f>
        <v>991.375</v>
      </c>
      <c r="C16" s="626">
        <f t="shared" ref="C16:M16" si="4">$N$17/12</f>
        <v>991.375</v>
      </c>
      <c r="D16" s="626">
        <f t="shared" si="4"/>
        <v>991.375</v>
      </c>
      <c r="E16" s="626">
        <f t="shared" si="4"/>
        <v>991.375</v>
      </c>
      <c r="F16" s="626">
        <f t="shared" si="4"/>
        <v>991.375</v>
      </c>
      <c r="G16" s="626">
        <f t="shared" si="4"/>
        <v>991.375</v>
      </c>
      <c r="H16" s="626">
        <f t="shared" si="4"/>
        <v>991.375</v>
      </c>
      <c r="I16" s="626">
        <f t="shared" si="4"/>
        <v>991.375</v>
      </c>
      <c r="J16" s="626">
        <f t="shared" si="4"/>
        <v>991.375</v>
      </c>
      <c r="K16" s="626">
        <f t="shared" si="4"/>
        <v>991.375</v>
      </c>
      <c r="L16" s="626">
        <f t="shared" si="4"/>
        <v>991.375</v>
      </c>
      <c r="M16" s="626">
        <f t="shared" si="4"/>
        <v>991.375</v>
      </c>
      <c r="N16" s="605">
        <f>SUM(B16:M16)</f>
        <v>11896.5</v>
      </c>
    </row>
    <row r="17" spans="1:19" x14ac:dyDescent="0.25">
      <c r="A17" s="611" t="s">
        <v>261</v>
      </c>
      <c r="B17" s="612">
        <f>'AÑO 2026'!F122</f>
        <v>1049.04</v>
      </c>
      <c r="C17" s="613">
        <f>'AÑO 2026'!G122</f>
        <v>1273.1799999999998</v>
      </c>
      <c r="D17" s="613">
        <f>'AÑO 2026'!H122</f>
        <v>852.75</v>
      </c>
      <c r="E17" s="613">
        <f>'AÑO 2026'!I122</f>
        <v>1069.9499999999998</v>
      </c>
      <c r="F17" s="613">
        <f>'AÑO 2026'!J122</f>
        <v>1088.4599999999998</v>
      </c>
      <c r="G17" s="613">
        <f>'AÑO 2026'!K122</f>
        <v>944.52</v>
      </c>
      <c r="H17" s="613">
        <f>'AÑO 2026'!L122</f>
        <v>886.57</v>
      </c>
      <c r="I17" s="613">
        <f>'AÑO 2026'!M122</f>
        <v>954.16000000000008</v>
      </c>
      <c r="J17" s="613">
        <f>'AÑO 2026'!N122</f>
        <v>779.7</v>
      </c>
      <c r="K17" s="613">
        <f>'AÑO 2026'!O122</f>
        <v>1060.0899999999999</v>
      </c>
      <c r="L17" s="613">
        <f>'AÑO 2026'!P122</f>
        <v>808.38000000000011</v>
      </c>
      <c r="M17" s="614">
        <f>'AÑO 2026'!Q122</f>
        <v>1129.6999999999998</v>
      </c>
      <c r="N17" s="609">
        <f>SUM(B17:M17)</f>
        <v>11896.5</v>
      </c>
    </row>
    <row r="18" spans="1:19" ht="15.75" thickBot="1" x14ac:dyDescent="0.3">
      <c r="A18" s="615" t="s">
        <v>537</v>
      </c>
      <c r="B18" s="616">
        <f t="shared" ref="B18:M18" si="5">B16-B17</f>
        <v>-57.664999999999964</v>
      </c>
      <c r="C18" s="617">
        <f t="shared" si="5"/>
        <v>-281.80499999999984</v>
      </c>
      <c r="D18" s="617">
        <f t="shared" si="5"/>
        <v>138.625</v>
      </c>
      <c r="E18" s="617">
        <f t="shared" si="5"/>
        <v>-78.574999999999818</v>
      </c>
      <c r="F18" s="617">
        <f t="shared" si="5"/>
        <v>-97.084999999999809</v>
      </c>
      <c r="G18" s="617">
        <f t="shared" si="5"/>
        <v>46.855000000000018</v>
      </c>
      <c r="H18" s="617">
        <f t="shared" si="5"/>
        <v>104.80499999999995</v>
      </c>
      <c r="I18" s="617">
        <f t="shared" si="5"/>
        <v>37.214999999999918</v>
      </c>
      <c r="J18" s="617">
        <f t="shared" si="5"/>
        <v>211.67499999999995</v>
      </c>
      <c r="K18" s="617">
        <f t="shared" si="5"/>
        <v>-68.714999999999918</v>
      </c>
      <c r="L18" s="617">
        <f t="shared" si="5"/>
        <v>182.99499999999989</v>
      </c>
      <c r="M18" s="618">
        <f t="shared" si="5"/>
        <v>-138.32499999999982</v>
      </c>
      <c r="N18" s="619">
        <f>SUM(B18:M18)</f>
        <v>5.6843418860808015E-13</v>
      </c>
      <c r="O18" s="610"/>
      <c r="P18" s="610"/>
      <c r="Q18" s="610"/>
      <c r="R18" s="610"/>
    </row>
    <row r="19" spans="1:19" ht="15.75" thickBot="1" x14ac:dyDescent="0.3">
      <c r="B19" s="1108">
        <f>SUM(B17)/1</f>
        <v>1049.04</v>
      </c>
      <c r="C19" s="1108" cm="1">
        <f t="array" ref="C19">SUM(B17:C17/2)</f>
        <v>1161.1099999999999</v>
      </c>
      <c r="D19" s="1108">
        <f>SUM(B17:D17)/3</f>
        <v>1058.3233333333333</v>
      </c>
      <c r="E19" s="1108">
        <f>SUM(B17:E17)/4</f>
        <v>1061.23</v>
      </c>
      <c r="F19" s="1108">
        <f>SUM(B17:F17)/5</f>
        <v>1066.6759999999999</v>
      </c>
      <c r="G19" s="1108">
        <f>SUM(B17:G17)/6</f>
        <v>1046.3166666666666</v>
      </c>
      <c r="H19" s="1108">
        <f>SUM(B17:H17)/7</f>
        <v>1023.4957142857141</v>
      </c>
      <c r="I19" s="1108">
        <f>SUM(B17:I17)/8</f>
        <v>1014.8287499999999</v>
      </c>
      <c r="J19" s="1108">
        <f>SUM(B17:J17)/9</f>
        <v>988.70333333333338</v>
      </c>
      <c r="K19" s="1108">
        <f>SUM(B17:K17)/10</f>
        <v>995.84199999999998</v>
      </c>
      <c r="L19" s="1108">
        <f>SUM(B17:L17)/11</f>
        <v>978.8</v>
      </c>
      <c r="M19" s="1108">
        <f>SUM(B17:M17)/12</f>
        <v>991.375</v>
      </c>
    </row>
    <row r="20" spans="1:19" x14ac:dyDescent="0.25">
      <c r="A20" s="620" t="s">
        <v>262</v>
      </c>
      <c r="B20" s="602">
        <v>500</v>
      </c>
      <c r="C20" s="603">
        <v>500</v>
      </c>
      <c r="D20" s="603">
        <v>500</v>
      </c>
      <c r="E20" s="603">
        <v>500</v>
      </c>
      <c r="F20" s="603">
        <v>500</v>
      </c>
      <c r="G20" s="603">
        <v>500</v>
      </c>
      <c r="H20" s="603">
        <v>500</v>
      </c>
      <c r="I20" s="603">
        <v>500</v>
      </c>
      <c r="J20" s="603">
        <v>500</v>
      </c>
      <c r="K20" s="603">
        <v>500</v>
      </c>
      <c r="L20" s="603">
        <v>500</v>
      </c>
      <c r="M20" s="603">
        <v>500</v>
      </c>
      <c r="N20" s="621">
        <f>SUM(B20:M20)</f>
        <v>6000</v>
      </c>
    </row>
    <row r="21" spans="1:19" x14ac:dyDescent="0.25">
      <c r="A21" s="622" t="s">
        <v>263</v>
      </c>
      <c r="B21" s="606">
        <f>'GASTOS '!E129</f>
        <v>0</v>
      </c>
      <c r="C21" s="607">
        <f>'GASTOS '!K129</f>
        <v>192</v>
      </c>
      <c r="D21" s="607">
        <f>'GASTOS '!Q129</f>
        <v>140</v>
      </c>
      <c r="E21" s="607">
        <f>'GASTOS '!W129</f>
        <v>0</v>
      </c>
      <c r="F21" s="607">
        <f>'GASTOS '!AC129</f>
        <v>185</v>
      </c>
      <c r="G21" s="607">
        <f>'GASTOS '!AI129</f>
        <v>0</v>
      </c>
      <c r="H21" s="607">
        <f>'GASTOS '!AO129</f>
        <v>127</v>
      </c>
      <c r="I21" s="607">
        <f>'GASTOS '!AU129</f>
        <v>0</v>
      </c>
      <c r="J21" s="607">
        <f>'GASTOS '!BA129</f>
        <v>500</v>
      </c>
      <c r="K21" s="607">
        <f>'GASTOS '!BG129</f>
        <v>500</v>
      </c>
      <c r="L21" s="607">
        <f>'GASTOS '!BM129</f>
        <v>500</v>
      </c>
      <c r="M21" s="607">
        <f>'GASTOS '!BS129</f>
        <v>500</v>
      </c>
      <c r="N21" s="623">
        <f>SUM(B21:M21)</f>
        <v>2644</v>
      </c>
    </row>
    <row r="22" spans="1:19" ht="15.75" thickBot="1" x14ac:dyDescent="0.3">
      <c r="A22" s="624" t="s">
        <v>536</v>
      </c>
      <c r="B22" s="617">
        <f t="shared" ref="B22:M22" si="6">B20-B21</f>
        <v>500</v>
      </c>
      <c r="C22" s="617">
        <f t="shared" si="6"/>
        <v>308</v>
      </c>
      <c r="D22" s="617">
        <f t="shared" si="6"/>
        <v>360</v>
      </c>
      <c r="E22" s="617">
        <f t="shared" si="6"/>
        <v>500</v>
      </c>
      <c r="F22" s="617">
        <f t="shared" si="6"/>
        <v>315</v>
      </c>
      <c r="G22" s="617">
        <f t="shared" si="6"/>
        <v>500</v>
      </c>
      <c r="H22" s="617">
        <f t="shared" si="6"/>
        <v>373</v>
      </c>
      <c r="I22" s="617">
        <f t="shared" si="6"/>
        <v>500</v>
      </c>
      <c r="J22" s="617">
        <f t="shared" si="6"/>
        <v>0</v>
      </c>
      <c r="K22" s="617">
        <f>K20-K21</f>
        <v>0</v>
      </c>
      <c r="L22" s="617">
        <f t="shared" si="6"/>
        <v>0</v>
      </c>
      <c r="M22" s="588">
        <f t="shared" si="6"/>
        <v>0</v>
      </c>
      <c r="N22" s="625">
        <f>SUM(B22:M22)</f>
        <v>3356</v>
      </c>
    </row>
    <row r="23" spans="1:19" ht="15.75" thickBot="1" x14ac:dyDescent="0.3">
      <c r="B23" s="1108">
        <f>SUM(B21)/1</f>
        <v>0</v>
      </c>
      <c r="C23" s="1108" cm="1">
        <f t="array" ref="C23">SUM(B21:C21/2)</f>
        <v>96</v>
      </c>
      <c r="D23" s="1108">
        <f>SUM(B21:D21)/3</f>
        <v>110.66666666666667</v>
      </c>
      <c r="E23" s="1108">
        <f>SUM(B21:E21)/4</f>
        <v>83</v>
      </c>
      <c r="F23" s="1108">
        <f>SUM(B21:F21)/5</f>
        <v>103.4</v>
      </c>
      <c r="G23" s="1108">
        <f>SUM(B21:G21)/6</f>
        <v>86.166666666666671</v>
      </c>
      <c r="H23" s="1108">
        <f>SUM(B21:H21)/7</f>
        <v>92</v>
      </c>
      <c r="I23" s="1108">
        <f>SUM(B21:I21)/8</f>
        <v>80.5</v>
      </c>
      <c r="J23" s="1108">
        <f>SUM(B21:J21)/9</f>
        <v>127.11111111111111</v>
      </c>
      <c r="K23" s="1108">
        <f>SUM(B21:K21)/10</f>
        <v>164.4</v>
      </c>
      <c r="L23" s="1108">
        <f>SUM(B21:L21)/11</f>
        <v>194.90909090909091</v>
      </c>
      <c r="M23" s="1108">
        <f>SUM(B21:M21)/12</f>
        <v>220.33333333333334</v>
      </c>
    </row>
    <row r="24" spans="1:19" ht="15.75" thickBot="1" x14ac:dyDescent="0.3">
      <c r="N24" s="801" t="s">
        <v>330</v>
      </c>
      <c r="O24" s="802" t="s">
        <v>331</v>
      </c>
      <c r="P24" s="803" t="s">
        <v>51</v>
      </c>
      <c r="Q24" s="804" t="s">
        <v>332</v>
      </c>
      <c r="R24" s="805" t="s">
        <v>200</v>
      </c>
    </row>
    <row r="25" spans="1:19" x14ac:dyDescent="0.25">
      <c r="A25" s="792" t="s">
        <v>338</v>
      </c>
      <c r="B25" s="795">
        <f t="shared" ref="B25:M25" si="7">B5+IF(B2="Sí",B9,0)</f>
        <v>3041.6400000000003</v>
      </c>
      <c r="C25" s="727">
        <f t="shared" si="7"/>
        <v>1338.15</v>
      </c>
      <c r="D25" s="727">
        <f t="shared" si="7"/>
        <v>4171.99</v>
      </c>
      <c r="E25" s="727">
        <f t="shared" si="7"/>
        <v>4996.97</v>
      </c>
      <c r="F25" s="727">
        <f t="shared" si="7"/>
        <v>2472.62</v>
      </c>
      <c r="G25" s="727">
        <f t="shared" si="7"/>
        <v>4136.1099999999997</v>
      </c>
      <c r="H25" s="727">
        <f t="shared" si="7"/>
        <v>3377.4300000000003</v>
      </c>
      <c r="I25" s="727">
        <f t="shared" si="7"/>
        <v>2340.5100000000002</v>
      </c>
      <c r="J25" s="727">
        <f t="shared" si="7"/>
        <v>0</v>
      </c>
      <c r="K25" s="727">
        <f t="shared" si="7"/>
        <v>0</v>
      </c>
      <c r="L25" s="727">
        <f t="shared" si="7"/>
        <v>0</v>
      </c>
      <c r="M25" s="798">
        <f t="shared" si="7"/>
        <v>0</v>
      </c>
      <c r="N25" s="814">
        <f>SUM(B25:M25)</f>
        <v>25875.42</v>
      </c>
      <c r="O25" s="815">
        <f>N4+N8</f>
        <v>36758.990000000005</v>
      </c>
      <c r="P25" s="816">
        <f>'AÑO 2026'!S33</f>
        <v>35499.239999999991</v>
      </c>
      <c r="Q25" s="817">
        <f>N8-N25</f>
        <v>4283.570000000007</v>
      </c>
      <c r="R25" s="818">
        <f>P25-O25</f>
        <v>-1259.7500000000146</v>
      </c>
      <c r="S25" s="732"/>
    </row>
    <row r="26" spans="1:19" x14ac:dyDescent="0.25">
      <c r="A26" s="793" t="s">
        <v>333</v>
      </c>
      <c r="B26" s="796">
        <f t="shared" ref="B26:M26" si="8">B13+IF(B2="Sí",B17,0)</f>
        <v>2218.8900000000003</v>
      </c>
      <c r="C26" s="726">
        <f t="shared" si="8"/>
        <v>3191.6499999999996</v>
      </c>
      <c r="D26" s="726">
        <f t="shared" si="8"/>
        <v>2519.9700000000003</v>
      </c>
      <c r="E26" s="726">
        <f t="shared" si="8"/>
        <v>3037.8899999999994</v>
      </c>
      <c r="F26" s="726">
        <f t="shared" si="8"/>
        <v>3384.3100000000004</v>
      </c>
      <c r="G26" s="726">
        <f t="shared" si="8"/>
        <v>2693.99</v>
      </c>
      <c r="H26" s="726">
        <f t="shared" si="8"/>
        <v>2912.44</v>
      </c>
      <c r="I26" s="726">
        <f t="shared" si="8"/>
        <v>2581.0700000000006</v>
      </c>
      <c r="J26" s="726">
        <f t="shared" si="8"/>
        <v>0</v>
      </c>
      <c r="K26" s="726">
        <f t="shared" si="8"/>
        <v>0</v>
      </c>
      <c r="L26" s="726">
        <f t="shared" si="8"/>
        <v>0</v>
      </c>
      <c r="M26" s="799">
        <f t="shared" si="8"/>
        <v>0</v>
      </c>
      <c r="N26" s="819">
        <f>SUM(B26:M26)</f>
        <v>22540.209999999995</v>
      </c>
      <c r="O26" s="811">
        <f>N12+N16</f>
        <v>28696.5</v>
      </c>
      <c r="P26" s="812">
        <f>'AÑO 2026'!S39</f>
        <v>30932.5</v>
      </c>
      <c r="Q26" s="813">
        <f>(N12+N16)-N26</f>
        <v>6156.2900000000045</v>
      </c>
      <c r="R26" s="820">
        <f>P26-O26</f>
        <v>2236</v>
      </c>
      <c r="S26" s="732"/>
    </row>
    <row r="27" spans="1:19" ht="15.75" thickBot="1" x14ac:dyDescent="0.3">
      <c r="A27" s="794" t="s">
        <v>334</v>
      </c>
      <c r="B27" s="797">
        <f t="shared" ref="B27:M27" si="9">B21</f>
        <v>0</v>
      </c>
      <c r="C27" s="728">
        <f t="shared" si="9"/>
        <v>192</v>
      </c>
      <c r="D27" s="728">
        <f t="shared" si="9"/>
        <v>140</v>
      </c>
      <c r="E27" s="728">
        <f t="shared" si="9"/>
        <v>0</v>
      </c>
      <c r="F27" s="728">
        <f t="shared" si="9"/>
        <v>185</v>
      </c>
      <c r="G27" s="728">
        <f t="shared" si="9"/>
        <v>0</v>
      </c>
      <c r="H27" s="728">
        <f t="shared" si="9"/>
        <v>127</v>
      </c>
      <c r="I27" s="728">
        <f t="shared" si="9"/>
        <v>0</v>
      </c>
      <c r="J27" s="728">
        <f t="shared" si="9"/>
        <v>500</v>
      </c>
      <c r="K27" s="728">
        <f t="shared" si="9"/>
        <v>500</v>
      </c>
      <c r="L27" s="728">
        <f t="shared" si="9"/>
        <v>500</v>
      </c>
      <c r="M27" s="800">
        <f t="shared" si="9"/>
        <v>500</v>
      </c>
      <c r="N27" s="821">
        <f>SUM(B27:M27)</f>
        <v>2644</v>
      </c>
      <c r="O27" s="822">
        <f>N20</f>
        <v>6000</v>
      </c>
      <c r="P27" s="823">
        <f>'AÑO 2026'!S44</f>
        <v>6000</v>
      </c>
      <c r="Q27" s="824">
        <f>N20-N27</f>
        <v>3356</v>
      </c>
      <c r="R27" s="825">
        <f>P27-O27</f>
        <v>0</v>
      </c>
      <c r="S27" s="732"/>
    </row>
    <row r="28" spans="1:19" ht="15.75" thickBot="1" x14ac:dyDescent="0.3">
      <c r="A28" s="630"/>
      <c r="B28" s="538"/>
      <c r="C28" s="538"/>
      <c r="D28" s="538"/>
      <c r="E28" s="538"/>
      <c r="F28" s="538"/>
      <c r="G28" s="538"/>
      <c r="H28" s="538"/>
      <c r="I28" s="538"/>
      <c r="J28" s="538"/>
      <c r="K28" s="538"/>
      <c r="L28" s="538"/>
      <c r="M28" s="538"/>
      <c r="N28" s="806">
        <f>SUM(N26:N26)</f>
        <v>22540.209999999995</v>
      </c>
      <c r="O28" s="807">
        <f>SUM(O26:O26)</f>
        <v>28696.5</v>
      </c>
      <c r="P28" s="808">
        <f>SUM(P26:P26)</f>
        <v>30932.5</v>
      </c>
      <c r="Q28" s="809">
        <f>IF(P28&gt;O28,SUM(Q26:Q26),P28-O28)</f>
        <v>6156.2900000000045</v>
      </c>
      <c r="R28" s="810">
        <f>IF(P28&gt;O28,P28-O28,P28-O28)</f>
        <v>2236</v>
      </c>
      <c r="S28" s="732" t="s">
        <v>339</v>
      </c>
    </row>
    <row r="29" spans="1:19" ht="15.75" thickBot="1" x14ac:dyDescent="0.3">
      <c r="A29" s="631" t="s">
        <v>267</v>
      </c>
      <c r="Q29" s="732"/>
    </row>
    <row r="30" spans="1:19" x14ac:dyDescent="0.25">
      <c r="A30" s="632" t="s">
        <v>268</v>
      </c>
      <c r="B30" s="633">
        <f>B12-B13</f>
        <v>230.14999999999986</v>
      </c>
      <c r="C30" s="633">
        <f>B12+C12-B13-C13</f>
        <v>-288.32000000000016</v>
      </c>
      <c r="D30" s="633">
        <f>B12+C12+D12-B13-C13-D13</f>
        <v>-555.54000000000065</v>
      </c>
      <c r="E30" s="633">
        <f>B12+C12+D12+E12-B13-C13-D13-E13</f>
        <v>-1123.4800000000007</v>
      </c>
      <c r="F30" s="633">
        <f>B12+C12+D12+E12+F12-B13-C13-D13-E13-F13</f>
        <v>-2019.3300000000015</v>
      </c>
      <c r="G30" s="633">
        <f>B12+C12+D12+E12+F12+G12-B13-C13-D13-E13-F13-G13</f>
        <v>-2368.8000000000011</v>
      </c>
      <c r="H30" s="633">
        <f>B12+C12+D12+E12+F12+G12+H12-B13-C13-D13-E13-F13-G13-H13</f>
        <v>-2994.670000000001</v>
      </c>
      <c r="I30" s="633">
        <f>B12+C12+D12+E12+F12+G12+H12+I12-B13-C13-D13-E13-F13-G13-H13-I13</f>
        <v>-3221.5800000000017</v>
      </c>
      <c r="J30" s="633">
        <f>B12+C12+D12+E12+F12+G12+H12+I12+J12-B13-C13-D13-E13-F13-G13-H13-I13-J13</f>
        <v>-1821.5800000000011</v>
      </c>
      <c r="K30" s="633">
        <f>B12+C12+D12+E12+F12+G12+H12+I12+J12+K12-B13-C13-D13-E13-F13-G13-H13-I13-J13-K13</f>
        <v>-421.58000000000243</v>
      </c>
      <c r="L30" s="633">
        <f>B12+C12+D12+E12+F12+G12+H12+I12+J12+K12+L12-B13-C13-D13-E13-F13-G13-H13-I13-J13-K13-L13</f>
        <v>978.41999999999825</v>
      </c>
      <c r="M30" s="634">
        <f>B12+C12+D12+E12+F12+G12+H12+I12+J12+K12+L12+M12-B13-C13-D13-E13-F13-G13-H13-I13-J13-K13-L13-M13</f>
        <v>2378.4199999999983</v>
      </c>
    </row>
    <row r="31" spans="1:19" x14ac:dyDescent="0.25">
      <c r="A31" s="635" t="s">
        <v>269</v>
      </c>
      <c r="B31" s="636">
        <f>$M$30/12</f>
        <v>198.20166666666651</v>
      </c>
      <c r="C31" s="636">
        <f>$M$30/11</f>
        <v>216.21999999999983</v>
      </c>
      <c r="D31" s="636">
        <f>$M$30/10</f>
        <v>237.84199999999981</v>
      </c>
      <c r="E31" s="636">
        <f>$M$30/9</f>
        <v>264.26888888888868</v>
      </c>
      <c r="F31" s="636">
        <f>$M$30/8</f>
        <v>297.30249999999978</v>
      </c>
      <c r="G31" s="636">
        <f>$M$30/7</f>
        <v>339.77428571428544</v>
      </c>
      <c r="H31" s="636">
        <f>$M$30/6</f>
        <v>396.40333333333302</v>
      </c>
      <c r="I31" s="636">
        <f>$M$30/5</f>
        <v>475.68399999999963</v>
      </c>
      <c r="J31" s="636">
        <f>$M$30/4</f>
        <v>594.60499999999956</v>
      </c>
      <c r="K31" s="636">
        <f>$M$30/3</f>
        <v>792.80666666666605</v>
      </c>
      <c r="L31" s="636">
        <f>$M$30/2</f>
        <v>1189.2099999999991</v>
      </c>
      <c r="M31" s="637">
        <f>$M$30/1</f>
        <v>2378.4199999999983</v>
      </c>
    </row>
    <row r="32" spans="1:19" x14ac:dyDescent="0.25">
      <c r="A32" s="635" t="s">
        <v>270</v>
      </c>
      <c r="B32" s="638">
        <f>B20-B21</f>
        <v>500</v>
      </c>
      <c r="C32" s="638">
        <f>B20+C20-B21-C21</f>
        <v>808</v>
      </c>
      <c r="D32" s="638">
        <f>B20+C20+D20-B21-C21-D21</f>
        <v>1168</v>
      </c>
      <c r="E32" s="638">
        <f>B20+C20+D20+E20-B21-C21-D21-E21</f>
        <v>1668</v>
      </c>
      <c r="F32" s="638">
        <f>B20+C20+D20+E20+F20-B21-C21-D21-E21-F21</f>
        <v>1983</v>
      </c>
      <c r="G32" s="638">
        <f>B20+C20+D20+E20+F20+G20-B21-C21-D21-E21-F21-G21</f>
        <v>2483</v>
      </c>
      <c r="H32" s="638">
        <f>B20+C20+D20+E20+F20+G20+H20-B21-C21-D21-E21-F21-G21-H21</f>
        <v>2856</v>
      </c>
      <c r="I32" s="638">
        <f>B20+C20+D20+E20+F20+G20+H20+I20-B21-C21-D21-E21-F21-G21-H21-I21</f>
        <v>3356</v>
      </c>
      <c r="J32" s="638">
        <f>B20+C20+D20+E20+F20+G20+H20+I20+J20-B21-C21-D21-E21-F21-G21-H21-I21-J21</f>
        <v>3356</v>
      </c>
      <c r="K32" s="638">
        <f>B20+C20+D20+E20+F20+G20+H20+I20+J20+K20-B21-C21-D21-E21-F21-G21-H21-I21-J21-K21</f>
        <v>3356</v>
      </c>
      <c r="L32" s="638">
        <f>B20+C20+D20+E20+F20+G20+H20+I20+J20+K20+L20-B21-C21-D21-E21-F21-G21-H21-I21-J21-K21-L21</f>
        <v>3356</v>
      </c>
      <c r="M32" s="639">
        <f>B20+C20+D20+E20+F20+G20+H20+I20+J20+K20+L20+M20-B21-C21-D21-E21-F21-G21-H21-I21-J21-K21-L21-M21</f>
        <v>3356</v>
      </c>
      <c r="N32" s="610"/>
    </row>
    <row r="33" spans="1:16" ht="15.75" thickBot="1" x14ac:dyDescent="0.3">
      <c r="A33" s="640" t="s">
        <v>271</v>
      </c>
      <c r="B33" s="641">
        <f>$M$32/12</f>
        <v>279.66666666666669</v>
      </c>
      <c r="C33" s="641">
        <f>$M$32/11</f>
        <v>305.09090909090907</v>
      </c>
      <c r="D33" s="641">
        <f>$M$32/10</f>
        <v>335.6</v>
      </c>
      <c r="E33" s="641">
        <f>$M$32/9</f>
        <v>372.88888888888891</v>
      </c>
      <c r="F33" s="641">
        <f>$M$32/8</f>
        <v>419.5</v>
      </c>
      <c r="G33" s="641">
        <f>$M$32/7</f>
        <v>479.42857142857144</v>
      </c>
      <c r="H33" s="641">
        <f>$M$32/6</f>
        <v>559.33333333333337</v>
      </c>
      <c r="I33" s="641">
        <f>$M$32/5</f>
        <v>671.2</v>
      </c>
      <c r="J33" s="641">
        <f>$M$32/4</f>
        <v>839</v>
      </c>
      <c r="K33" s="641">
        <f>$M$32/3</f>
        <v>1118.6666666666667</v>
      </c>
      <c r="L33" s="641">
        <f>$M$32/2</f>
        <v>1678</v>
      </c>
      <c r="M33" s="642">
        <f>$M$32/1</f>
        <v>3356</v>
      </c>
    </row>
    <row r="34" spans="1:16" ht="15.75" thickBot="1" x14ac:dyDescent="0.3">
      <c r="F34" s="610"/>
      <c r="G34" s="610"/>
      <c r="N34" s="610"/>
    </row>
    <row r="35" spans="1:16" ht="15.75" thickBot="1" x14ac:dyDescent="0.3">
      <c r="F35" s="610"/>
      <c r="G35" s="610"/>
      <c r="H35" s="1135" t="s">
        <v>272</v>
      </c>
      <c r="I35" s="1136"/>
      <c r="J35" s="1137"/>
      <c r="K35" s="643" t="s">
        <v>273</v>
      </c>
      <c r="L35" s="644" t="s">
        <v>274</v>
      </c>
      <c r="M35" s="645" t="s">
        <v>275</v>
      </c>
    </row>
    <row r="36" spans="1:16" x14ac:dyDescent="0.25">
      <c r="B36"/>
      <c r="C36"/>
      <c r="D36"/>
      <c r="E36"/>
      <c r="F36"/>
      <c r="G36" s="610"/>
      <c r="H36" s="729" t="s">
        <v>208</v>
      </c>
      <c r="I36" s="730">
        <v>200</v>
      </c>
      <c r="J36" s="731" t="s">
        <v>195</v>
      </c>
      <c r="K36" s="649">
        <v>12</v>
      </c>
      <c r="L36" s="647">
        <f t="shared" ref="L36:L48" si="10">IF($J36="MENSUAL",$I36,IF($J36="TRIMESTRAL",$I36/3,IF($J36="SEMESTRAL",$I36/2,IF($J36="ANUAL",$I36/12,IF($J36="BIMENSUAL",$I36/2)))))</f>
        <v>200</v>
      </c>
      <c r="M36" s="647">
        <f t="shared" ref="M36:M48" si="11">L36*K36</f>
        <v>2400</v>
      </c>
    </row>
    <row r="37" spans="1:16" x14ac:dyDescent="0.25">
      <c r="B37"/>
      <c r="C37"/>
      <c r="D37"/>
      <c r="E37"/>
      <c r="F37"/>
      <c r="H37" s="646" t="s">
        <v>276</v>
      </c>
      <c r="I37" s="647">
        <v>275</v>
      </c>
      <c r="J37" s="648" t="s">
        <v>195</v>
      </c>
      <c r="K37" s="649">
        <v>8</v>
      </c>
      <c r="L37" s="647">
        <f t="shared" si="10"/>
        <v>275</v>
      </c>
      <c r="M37" s="647">
        <f t="shared" si="11"/>
        <v>2200</v>
      </c>
      <c r="O37" s="650"/>
      <c r="P37" s="650"/>
    </row>
    <row r="38" spans="1:16" x14ac:dyDescent="0.25">
      <c r="B38"/>
      <c r="C38"/>
      <c r="D38"/>
      <c r="E38"/>
      <c r="F38"/>
      <c r="H38" s="646" t="s">
        <v>277</v>
      </c>
      <c r="I38" s="647">
        <v>500</v>
      </c>
      <c r="J38" s="648" t="s">
        <v>195</v>
      </c>
      <c r="K38" s="649">
        <v>12</v>
      </c>
      <c r="L38" s="647">
        <f t="shared" si="10"/>
        <v>500</v>
      </c>
      <c r="M38" s="647">
        <f t="shared" si="11"/>
        <v>6000</v>
      </c>
    </row>
    <row r="39" spans="1:16" x14ac:dyDescent="0.25">
      <c r="B39"/>
      <c r="C39"/>
      <c r="D39"/>
      <c r="E39"/>
      <c r="F39"/>
      <c r="H39" s="646" t="s">
        <v>278</v>
      </c>
      <c r="I39" s="647">
        <v>250</v>
      </c>
      <c r="J39" s="648" t="s">
        <v>197</v>
      </c>
      <c r="K39" s="649">
        <v>12</v>
      </c>
      <c r="L39" s="647">
        <f t="shared" si="10"/>
        <v>20.833333333333332</v>
      </c>
      <c r="M39" s="647">
        <f t="shared" si="11"/>
        <v>250</v>
      </c>
    </row>
    <row r="40" spans="1:16" x14ac:dyDescent="0.25">
      <c r="B40"/>
      <c r="C40"/>
      <c r="D40"/>
      <c r="E40"/>
      <c r="F40"/>
      <c r="H40" s="646" t="s">
        <v>279</v>
      </c>
      <c r="I40" s="647">
        <v>350</v>
      </c>
      <c r="J40" s="648" t="s">
        <v>197</v>
      </c>
      <c r="K40" s="649">
        <v>12</v>
      </c>
      <c r="L40" s="647">
        <f t="shared" si="10"/>
        <v>29.166666666666668</v>
      </c>
      <c r="M40" s="647">
        <f t="shared" si="11"/>
        <v>350</v>
      </c>
    </row>
    <row r="41" spans="1:16" x14ac:dyDescent="0.25">
      <c r="B41"/>
      <c r="C41"/>
      <c r="D41"/>
      <c r="E41"/>
      <c r="F41"/>
      <c r="H41" s="646" t="s">
        <v>280</v>
      </c>
      <c r="I41" s="647">
        <v>175</v>
      </c>
      <c r="J41" s="648" t="s">
        <v>197</v>
      </c>
      <c r="K41" s="649">
        <v>12</v>
      </c>
      <c r="L41" s="647">
        <f t="shared" si="10"/>
        <v>14.583333333333334</v>
      </c>
      <c r="M41" s="647">
        <f t="shared" si="11"/>
        <v>175</v>
      </c>
    </row>
    <row r="42" spans="1:16" x14ac:dyDescent="0.25">
      <c r="B42"/>
      <c r="C42"/>
      <c r="D42"/>
      <c r="E42"/>
      <c r="F42"/>
      <c r="H42" s="648" t="s">
        <v>281</v>
      </c>
      <c r="I42" s="647">
        <v>70</v>
      </c>
      <c r="J42" s="648" t="s">
        <v>195</v>
      </c>
      <c r="K42" s="649">
        <v>12</v>
      </c>
      <c r="L42" s="647">
        <f t="shared" si="10"/>
        <v>70</v>
      </c>
      <c r="M42" s="647">
        <f t="shared" si="11"/>
        <v>840</v>
      </c>
    </row>
    <row r="43" spans="1:16" x14ac:dyDescent="0.25">
      <c r="B43"/>
      <c r="C43"/>
      <c r="D43"/>
      <c r="E43"/>
      <c r="F43"/>
      <c r="H43" s="648" t="s">
        <v>282</v>
      </c>
      <c r="I43" s="647">
        <v>10</v>
      </c>
      <c r="J43" s="648" t="s">
        <v>195</v>
      </c>
      <c r="K43" s="649">
        <v>12</v>
      </c>
      <c r="L43" s="647">
        <f t="shared" si="10"/>
        <v>10</v>
      </c>
      <c r="M43" s="647">
        <f t="shared" si="11"/>
        <v>120</v>
      </c>
    </row>
    <row r="44" spans="1:16" x14ac:dyDescent="0.25">
      <c r="B44"/>
      <c r="C44"/>
      <c r="D44"/>
      <c r="E44"/>
      <c r="F44"/>
      <c r="H44" s="648" t="s">
        <v>283</v>
      </c>
      <c r="I44" s="647">
        <v>40</v>
      </c>
      <c r="J44" s="648" t="s">
        <v>222</v>
      </c>
      <c r="K44" s="649">
        <v>12</v>
      </c>
      <c r="L44" s="647">
        <f t="shared" si="10"/>
        <v>13.333333333333334</v>
      </c>
      <c r="M44" s="647">
        <f t="shared" si="11"/>
        <v>160</v>
      </c>
    </row>
    <row r="45" spans="1:16" x14ac:dyDescent="0.25">
      <c r="B45"/>
      <c r="C45"/>
      <c r="D45"/>
      <c r="E45"/>
      <c r="F45"/>
      <c r="H45" s="646" t="s">
        <v>284</v>
      </c>
      <c r="I45" s="647">
        <v>60</v>
      </c>
      <c r="J45" s="648" t="s">
        <v>197</v>
      </c>
      <c r="K45" s="649">
        <v>12</v>
      </c>
      <c r="L45" s="647">
        <f t="shared" si="10"/>
        <v>5</v>
      </c>
      <c r="M45" s="647">
        <f t="shared" si="11"/>
        <v>60</v>
      </c>
    </row>
    <row r="46" spans="1:16" x14ac:dyDescent="0.25">
      <c r="B46"/>
      <c r="C46"/>
      <c r="D46"/>
      <c r="E46"/>
      <c r="F46"/>
      <c r="H46" s="646"/>
      <c r="I46" s="647"/>
      <c r="J46" s="648" t="s">
        <v>195</v>
      </c>
      <c r="K46" s="649"/>
      <c r="L46" s="647">
        <f t="shared" si="10"/>
        <v>0</v>
      </c>
      <c r="M46" s="647">
        <f t="shared" si="11"/>
        <v>0</v>
      </c>
    </row>
    <row r="47" spans="1:16" x14ac:dyDescent="0.25">
      <c r="B47"/>
      <c r="C47"/>
      <c r="D47"/>
      <c r="E47"/>
      <c r="F47"/>
      <c r="H47" s="646"/>
      <c r="I47" s="647"/>
      <c r="J47" s="648" t="s">
        <v>195</v>
      </c>
      <c r="K47" s="649"/>
      <c r="L47" s="647">
        <f t="shared" si="10"/>
        <v>0</v>
      </c>
      <c r="M47" s="647">
        <f t="shared" si="11"/>
        <v>0</v>
      </c>
    </row>
    <row r="48" spans="1:16" ht="15.75" thickBot="1" x14ac:dyDescent="0.3">
      <c r="B48"/>
      <c r="C48"/>
      <c r="D48"/>
      <c r="E48"/>
      <c r="F48"/>
      <c r="H48" s="646" t="s">
        <v>144</v>
      </c>
      <c r="I48" s="647">
        <v>0</v>
      </c>
      <c r="J48" s="648" t="s">
        <v>195</v>
      </c>
      <c r="K48" s="649">
        <v>12</v>
      </c>
      <c r="L48" s="647">
        <f t="shared" si="10"/>
        <v>0</v>
      </c>
      <c r="M48" s="647">
        <f t="shared" si="11"/>
        <v>0</v>
      </c>
      <c r="N48" s="651" t="s">
        <v>285</v>
      </c>
    </row>
    <row r="49" spans="6:14" ht="15.75" thickBot="1" x14ac:dyDescent="0.3">
      <c r="H49" s="650"/>
      <c r="I49" s="650"/>
      <c r="J49" s="650"/>
      <c r="M49" s="652">
        <f>SUM(M36:M48)</f>
        <v>12555</v>
      </c>
      <c r="N49" s="653">
        <f>M49/12</f>
        <v>1046.25</v>
      </c>
    </row>
    <row r="51" spans="6:14" x14ac:dyDescent="0.25">
      <c r="F51" s="654"/>
    </row>
    <row r="56" spans="6:14" x14ac:dyDescent="0.25">
      <c r="F56" s="654"/>
    </row>
    <row r="150" ht="14.25" customHeight="1" x14ac:dyDescent="0.25"/>
  </sheetData>
  <mergeCells count="1">
    <mergeCell ref="H35:J35"/>
  </mergeCells>
  <conditionalFormatting sqref="B6:M6 B10:M11 B14:M14 B18:M18 B20:M22 B25:M28"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B30:M30 B32:M32">
    <cfRule type="cellIs" dxfId="1" priority="6" operator="lessThan">
      <formula>0</formula>
    </cfRule>
    <cfRule type="cellIs" dxfId="0" priority="7" operator="greaterThan">
      <formula>0</formula>
    </cfRule>
  </conditionalFormatting>
  <dataValidations count="1">
    <dataValidation type="list" allowBlank="1" showInputMessage="1" showErrorMessage="1" sqref="B2:M2" xr:uid="{00000000-0002-0000-0300-000000000000}">
      <formula1>"Sí,No"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112"/>
  <sheetViews>
    <sheetView topLeftCell="A39" zoomScale="75" zoomScaleNormal="75" workbookViewId="0">
      <selection activeCell="J91" sqref="J91"/>
    </sheetView>
  </sheetViews>
  <sheetFormatPr baseColWidth="10" defaultColWidth="11.42578125" defaultRowHeight="12.75" x14ac:dyDescent="0.2"/>
  <cols>
    <col min="1" max="1" width="2" style="655" customWidth="1"/>
    <col min="2" max="3" width="11.42578125" style="655"/>
    <col min="4" max="5" width="12.85546875" style="655" customWidth="1"/>
    <col min="6" max="6" width="14" style="655" customWidth="1"/>
    <col min="7" max="8" width="12" style="655" customWidth="1"/>
    <col min="9" max="9" width="11.42578125" style="655"/>
    <col min="10" max="10" width="12.28515625" style="655" customWidth="1"/>
    <col min="11" max="14" width="11.42578125" style="655"/>
    <col min="15" max="15" width="13.42578125" style="655" customWidth="1"/>
    <col min="16" max="16384" width="11.42578125" style="655"/>
  </cols>
  <sheetData>
    <row r="1" spans="1:12" ht="13.5" thickBot="1" x14ac:dyDescent="0.25">
      <c r="B1" s="1146" t="s">
        <v>287</v>
      </c>
      <c r="C1" s="1139" t="s">
        <v>288</v>
      </c>
      <c r="D1" s="1157" t="s">
        <v>67</v>
      </c>
      <c r="E1" s="1158"/>
      <c r="F1" s="1158"/>
      <c r="G1" s="1158"/>
      <c r="H1" s="1159"/>
      <c r="I1" s="1154" t="s">
        <v>286</v>
      </c>
      <c r="J1" s="1147"/>
    </row>
    <row r="2" spans="1:12" ht="13.5" thickBot="1" x14ac:dyDescent="0.25">
      <c r="B2" s="1146"/>
      <c r="C2" s="1139"/>
      <c r="D2" s="1155" t="s">
        <v>289</v>
      </c>
      <c r="E2" s="1156"/>
      <c r="F2" s="1023" t="s">
        <v>291</v>
      </c>
      <c r="G2" s="1064" t="s">
        <v>290</v>
      </c>
      <c r="H2" s="1081" t="s">
        <v>291</v>
      </c>
      <c r="I2" s="1154"/>
      <c r="J2" s="1147"/>
    </row>
    <row r="3" spans="1:12" ht="13.5" thickBot="1" x14ac:dyDescent="0.25">
      <c r="B3" s="1146"/>
      <c r="C3" s="1139"/>
      <c r="D3" s="1107"/>
      <c r="E3" s="1016"/>
      <c r="F3" s="1017"/>
      <c r="G3" s="1083"/>
      <c r="H3" s="1082"/>
      <c r="I3" s="1015">
        <v>45500</v>
      </c>
      <c r="J3" s="1005"/>
      <c r="K3" s="656" t="s">
        <v>292</v>
      </c>
      <c r="L3" s="656" t="s">
        <v>293</v>
      </c>
    </row>
    <row r="4" spans="1:12" x14ac:dyDescent="0.2">
      <c r="A4" s="1140">
        <v>0</v>
      </c>
      <c r="B4" s="1142">
        <v>2022</v>
      </c>
      <c r="C4" s="687">
        <v>1</v>
      </c>
      <c r="D4" s="1065"/>
      <c r="E4" s="688"/>
      <c r="F4" s="1066"/>
      <c r="G4" s="1065"/>
      <c r="H4" s="1084"/>
      <c r="I4" s="1053">
        <v>0</v>
      </c>
      <c r="J4" s="1007">
        <f>I3-I4</f>
        <v>45500</v>
      </c>
      <c r="K4" s="661"/>
      <c r="L4" s="662"/>
    </row>
    <row r="5" spans="1:12" x14ac:dyDescent="0.2">
      <c r="A5" s="1143"/>
      <c r="B5" s="1145"/>
      <c r="C5" s="664">
        <v>2</v>
      </c>
      <c r="D5" s="1067"/>
      <c r="E5" s="665"/>
      <c r="F5" s="1068"/>
      <c r="G5" s="1073"/>
      <c r="H5" s="1085"/>
      <c r="I5" s="1054">
        <v>0</v>
      </c>
      <c r="J5" s="668">
        <f>J4-I5</f>
        <v>45500</v>
      </c>
      <c r="K5" s="669"/>
      <c r="L5" s="670"/>
    </row>
    <row r="6" spans="1:12" x14ac:dyDescent="0.2">
      <c r="A6" s="1143"/>
      <c r="B6" s="1145"/>
      <c r="C6" s="664">
        <v>3</v>
      </c>
      <c r="D6" s="1067"/>
      <c r="E6" s="667"/>
      <c r="F6" s="1068"/>
      <c r="G6" s="1067"/>
      <c r="H6" s="1086"/>
      <c r="I6" s="1054">
        <v>0</v>
      </c>
      <c r="J6" s="668">
        <f t="shared" ref="J6:J16" si="0">J5-I6</f>
        <v>45500</v>
      </c>
      <c r="K6" s="669"/>
      <c r="L6" s="670"/>
    </row>
    <row r="7" spans="1:12" x14ac:dyDescent="0.2">
      <c r="A7" s="1143"/>
      <c r="B7" s="1145"/>
      <c r="C7" s="664">
        <v>4</v>
      </c>
      <c r="D7" s="1067"/>
      <c r="E7" s="665"/>
      <c r="F7" s="1068"/>
      <c r="G7" s="1073"/>
      <c r="H7" s="1085"/>
      <c r="I7" s="1054">
        <v>0</v>
      </c>
      <c r="J7" s="668">
        <f t="shared" si="0"/>
        <v>45500</v>
      </c>
      <c r="K7" s="669"/>
      <c r="L7" s="670"/>
    </row>
    <row r="8" spans="1:12" x14ac:dyDescent="0.2">
      <c r="A8" s="1143"/>
      <c r="B8" s="1145"/>
      <c r="C8" s="664">
        <v>5</v>
      </c>
      <c r="D8" s="1067"/>
      <c r="E8" s="667"/>
      <c r="F8" s="1068"/>
      <c r="G8" s="1067"/>
      <c r="H8" s="1086"/>
      <c r="I8" s="1054">
        <v>0</v>
      </c>
      <c r="J8" s="668">
        <f t="shared" si="0"/>
        <v>45500</v>
      </c>
      <c r="K8" s="669"/>
      <c r="L8" s="670"/>
    </row>
    <row r="9" spans="1:12" x14ac:dyDescent="0.2">
      <c r="A9" s="1143"/>
      <c r="B9" s="1145"/>
      <c r="C9" s="664">
        <v>6</v>
      </c>
      <c r="D9" s="1067"/>
      <c r="E9" s="665"/>
      <c r="F9" s="1068"/>
      <c r="G9" s="1073"/>
      <c r="H9" s="1085"/>
      <c r="I9" s="1054">
        <v>500</v>
      </c>
      <c r="J9" s="668">
        <f t="shared" si="0"/>
        <v>45000</v>
      </c>
      <c r="K9" s="669"/>
      <c r="L9" s="670"/>
    </row>
    <row r="10" spans="1:12" x14ac:dyDescent="0.2">
      <c r="A10" s="1143"/>
      <c r="B10" s="1145"/>
      <c r="C10" s="664">
        <v>7</v>
      </c>
      <c r="D10" s="1067"/>
      <c r="E10" s="667"/>
      <c r="F10" s="1068"/>
      <c r="G10" s="1067"/>
      <c r="H10" s="1086"/>
      <c r="I10" s="1054">
        <v>500</v>
      </c>
      <c r="J10" s="668">
        <f t="shared" si="0"/>
        <v>44500</v>
      </c>
      <c r="K10" s="669"/>
      <c r="L10" s="670"/>
    </row>
    <row r="11" spans="1:12" x14ac:dyDescent="0.2">
      <c r="A11" s="1143"/>
      <c r="B11" s="1145"/>
      <c r="C11" s="664">
        <v>8</v>
      </c>
      <c r="D11" s="1067"/>
      <c r="E11" s="665"/>
      <c r="F11" s="1068"/>
      <c r="G11" s="1073"/>
      <c r="H11" s="1085"/>
      <c r="I11" s="1055">
        <v>500</v>
      </c>
      <c r="J11" s="668">
        <f t="shared" si="0"/>
        <v>44000</v>
      </c>
      <c r="K11" s="680"/>
      <c r="L11" s="681"/>
    </row>
    <row r="12" spans="1:12" x14ac:dyDescent="0.2">
      <c r="A12" s="1143"/>
      <c r="B12" s="1145"/>
      <c r="C12" s="664">
        <v>9</v>
      </c>
      <c r="D12" s="1067"/>
      <c r="E12" s="667"/>
      <c r="F12" s="1068"/>
      <c r="G12" s="1067"/>
      <c r="H12" s="1086"/>
      <c r="I12" s="1055">
        <v>500</v>
      </c>
      <c r="J12" s="668">
        <f t="shared" si="0"/>
        <v>43500</v>
      </c>
      <c r="K12" s="680"/>
      <c r="L12" s="681"/>
    </row>
    <row r="13" spans="1:12" x14ac:dyDescent="0.2">
      <c r="A13" s="1143"/>
      <c r="B13" s="1145"/>
      <c r="C13" s="664">
        <v>10</v>
      </c>
      <c r="D13" s="1067"/>
      <c r="E13" s="665"/>
      <c r="F13" s="1068"/>
      <c r="G13" s="1073"/>
      <c r="H13" s="1085"/>
      <c r="I13" s="1055">
        <v>500</v>
      </c>
      <c r="J13" s="668">
        <f t="shared" si="0"/>
        <v>43000</v>
      </c>
      <c r="K13" s="680"/>
      <c r="L13" s="681"/>
    </row>
    <row r="14" spans="1:12" x14ac:dyDescent="0.2">
      <c r="A14" s="1143"/>
      <c r="B14" s="1145"/>
      <c r="C14" s="664">
        <v>11</v>
      </c>
      <c r="D14" s="1067"/>
      <c r="E14" s="667"/>
      <c r="F14" s="1068"/>
      <c r="G14" s="1067"/>
      <c r="H14" s="1086"/>
      <c r="I14" s="1055">
        <v>500</v>
      </c>
      <c r="J14" s="668">
        <f t="shared" si="0"/>
        <v>42500</v>
      </c>
      <c r="K14" s="680"/>
      <c r="L14" s="681"/>
    </row>
    <row r="15" spans="1:12" ht="13.5" thickBot="1" x14ac:dyDescent="0.25">
      <c r="A15" s="1144"/>
      <c r="B15" s="1141"/>
      <c r="C15" s="693">
        <v>12</v>
      </c>
      <c r="D15" s="1069"/>
      <c r="E15" s="694"/>
      <c r="F15" s="1070"/>
      <c r="G15" s="1069"/>
      <c r="H15" s="1087"/>
      <c r="I15" s="1056">
        <v>500</v>
      </c>
      <c r="J15" s="1008">
        <f t="shared" si="0"/>
        <v>42000</v>
      </c>
      <c r="K15" s="696"/>
      <c r="L15" s="697"/>
    </row>
    <row r="16" spans="1:12" x14ac:dyDescent="0.2">
      <c r="A16" s="1140">
        <v>0</v>
      </c>
      <c r="B16" s="1142">
        <v>2023</v>
      </c>
      <c r="C16" s="687">
        <v>1</v>
      </c>
      <c r="D16" s="1065"/>
      <c r="E16" s="688"/>
      <c r="F16" s="1066"/>
      <c r="G16" s="1065"/>
      <c r="H16" s="1084"/>
      <c r="I16" s="1053">
        <v>500</v>
      </c>
      <c r="J16" s="1009">
        <f t="shared" si="0"/>
        <v>41500</v>
      </c>
      <c r="K16" s="661"/>
      <c r="L16" s="662"/>
    </row>
    <row r="17" spans="1:46" x14ac:dyDescent="0.2">
      <c r="A17" s="1143"/>
      <c r="B17" s="1145"/>
      <c r="C17" s="664">
        <v>2</v>
      </c>
      <c r="D17" s="1067"/>
      <c r="E17" s="665"/>
      <c r="F17" s="1068"/>
      <c r="G17" s="1073"/>
      <c r="H17" s="1085"/>
      <c r="I17" s="1054">
        <v>500</v>
      </c>
      <c r="J17" s="668">
        <f>J16-I17</f>
        <v>41000</v>
      </c>
      <c r="K17" s="669"/>
      <c r="L17" s="670"/>
    </row>
    <row r="18" spans="1:46" x14ac:dyDescent="0.2">
      <c r="A18" s="1143"/>
      <c r="B18" s="1145"/>
      <c r="C18" s="664">
        <v>3</v>
      </c>
      <c r="D18" s="1067"/>
      <c r="E18" s="667"/>
      <c r="F18" s="1068"/>
      <c r="G18" s="1067"/>
      <c r="H18" s="1086"/>
      <c r="I18" s="1054">
        <v>500</v>
      </c>
      <c r="J18" s="668">
        <f t="shared" ref="J18:J27" si="1">J17-I18</f>
        <v>40500</v>
      </c>
      <c r="K18" s="669"/>
      <c r="L18" s="670"/>
    </row>
    <row r="19" spans="1:46" x14ac:dyDescent="0.2">
      <c r="A19" s="1143"/>
      <c r="B19" s="1145"/>
      <c r="C19" s="664">
        <v>4</v>
      </c>
      <c r="D19" s="1067"/>
      <c r="E19" s="665"/>
      <c r="F19" s="1068"/>
      <c r="G19" s="1073"/>
      <c r="H19" s="1085"/>
      <c r="I19" s="1054">
        <v>500</v>
      </c>
      <c r="J19" s="668">
        <f t="shared" si="1"/>
        <v>40000</v>
      </c>
      <c r="K19" s="669"/>
      <c r="L19" s="670"/>
    </row>
    <row r="20" spans="1:46" x14ac:dyDescent="0.2">
      <c r="A20" s="1143"/>
      <c r="B20" s="1145"/>
      <c r="C20" s="664">
        <v>5</v>
      </c>
      <c r="D20" s="1067"/>
      <c r="E20" s="667"/>
      <c r="F20" s="1068"/>
      <c r="G20" s="1067"/>
      <c r="H20" s="1086"/>
      <c r="I20" s="1054">
        <v>500</v>
      </c>
      <c r="J20" s="668">
        <f t="shared" si="1"/>
        <v>39500</v>
      </c>
      <c r="K20" s="669"/>
      <c r="L20" s="670"/>
    </row>
    <row r="21" spans="1:46" x14ac:dyDescent="0.2">
      <c r="A21" s="1143"/>
      <c r="B21" s="1145"/>
      <c r="C21" s="664">
        <v>6</v>
      </c>
      <c r="D21" s="1067"/>
      <c r="E21" s="665"/>
      <c r="F21" s="1068"/>
      <c r="G21" s="1073"/>
      <c r="H21" s="1085"/>
      <c r="I21" s="1054">
        <v>500</v>
      </c>
      <c r="J21" s="668">
        <f t="shared" si="1"/>
        <v>39000</v>
      </c>
      <c r="K21" s="669"/>
      <c r="L21" s="670"/>
    </row>
    <row r="22" spans="1:46" x14ac:dyDescent="0.2">
      <c r="A22" s="1143"/>
      <c r="B22" s="1145"/>
      <c r="C22" s="664">
        <v>7</v>
      </c>
      <c r="D22" s="1067"/>
      <c r="E22" s="667"/>
      <c r="F22" s="1068"/>
      <c r="G22" s="1067"/>
      <c r="H22" s="1086"/>
      <c r="I22" s="1054">
        <v>500</v>
      </c>
      <c r="J22" s="668">
        <f t="shared" si="1"/>
        <v>38500</v>
      </c>
      <c r="K22" s="669"/>
      <c r="L22" s="670"/>
    </row>
    <row r="23" spans="1:46" x14ac:dyDescent="0.2">
      <c r="A23" s="1143"/>
      <c r="B23" s="1145"/>
      <c r="C23" s="664">
        <v>8</v>
      </c>
      <c r="D23" s="1067"/>
      <c r="E23" s="665"/>
      <c r="F23" s="1068"/>
      <c r="G23" s="1073"/>
      <c r="H23" s="1085"/>
      <c r="I23" s="1055">
        <v>500</v>
      </c>
      <c r="J23" s="668">
        <f t="shared" si="1"/>
        <v>38000</v>
      </c>
      <c r="K23" s="680"/>
      <c r="L23" s="681"/>
    </row>
    <row r="24" spans="1:46" x14ac:dyDescent="0.2">
      <c r="A24" s="1143"/>
      <c r="B24" s="1145"/>
      <c r="C24" s="664">
        <v>9</v>
      </c>
      <c r="D24" s="1067"/>
      <c r="E24" s="667"/>
      <c r="F24" s="1068"/>
      <c r="G24" s="1067"/>
      <c r="H24" s="1086"/>
      <c r="I24" s="1055">
        <v>500</v>
      </c>
      <c r="J24" s="668">
        <f t="shared" si="1"/>
        <v>37500</v>
      </c>
      <c r="K24" s="680"/>
      <c r="L24" s="681"/>
    </row>
    <row r="25" spans="1:46" x14ac:dyDescent="0.2">
      <c r="A25" s="1143"/>
      <c r="B25" s="1145"/>
      <c r="C25" s="664">
        <v>10</v>
      </c>
      <c r="D25" s="1067"/>
      <c r="E25" s="665"/>
      <c r="F25" s="1068"/>
      <c r="G25" s="1073"/>
      <c r="H25" s="1085"/>
      <c r="I25" s="1055">
        <v>500</v>
      </c>
      <c r="J25" s="668">
        <f t="shared" si="1"/>
        <v>37000</v>
      </c>
      <c r="K25" s="680"/>
      <c r="L25" s="681"/>
    </row>
    <row r="26" spans="1:46" x14ac:dyDescent="0.2">
      <c r="A26" s="1143"/>
      <c r="B26" s="1145"/>
      <c r="C26" s="664">
        <v>11</v>
      </c>
      <c r="D26" s="1067"/>
      <c r="E26" s="667"/>
      <c r="F26" s="1068"/>
      <c r="G26" s="1067"/>
      <c r="H26" s="1086"/>
      <c r="I26" s="1055">
        <v>500</v>
      </c>
      <c r="J26" s="668">
        <f t="shared" si="1"/>
        <v>36500</v>
      </c>
      <c r="K26" s="680"/>
      <c r="L26" s="681"/>
    </row>
    <row r="27" spans="1:46" ht="13.5" thickBot="1" x14ac:dyDescent="0.25">
      <c r="A27" s="1144"/>
      <c r="B27" s="1141"/>
      <c r="C27" s="693">
        <v>12</v>
      </c>
      <c r="D27" s="1069"/>
      <c r="E27" s="694"/>
      <c r="F27" s="1070"/>
      <c r="G27" s="1069"/>
      <c r="H27" s="1087"/>
      <c r="I27" s="1056">
        <v>500</v>
      </c>
      <c r="J27" s="1008">
        <f t="shared" si="1"/>
        <v>36000</v>
      </c>
      <c r="K27" s="696"/>
      <c r="L27" s="697"/>
    </row>
    <row r="28" spans="1:46" ht="13.5" thickBot="1" x14ac:dyDescent="0.25">
      <c r="A28" s="1140">
        <v>1</v>
      </c>
      <c r="B28" s="1142">
        <v>2024</v>
      </c>
      <c r="C28" s="687">
        <v>1</v>
      </c>
      <c r="D28" s="1071"/>
      <c r="E28" s="1006"/>
      <c r="F28" s="1072"/>
      <c r="G28" s="1088"/>
      <c r="H28" s="1089"/>
      <c r="I28" s="1053">
        <v>500</v>
      </c>
      <c r="J28" s="1009">
        <f>J27-I28</f>
        <v>35500</v>
      </c>
      <c r="K28" s="661"/>
      <c r="L28" s="662"/>
      <c r="M28" s="663"/>
      <c r="N28" s="663"/>
      <c r="O28" s="663"/>
      <c r="P28" s="1152" t="s">
        <v>294</v>
      </c>
      <c r="Q28" s="1152"/>
      <c r="R28" s="1152"/>
      <c r="S28" s="1152"/>
      <c r="T28" s="1152"/>
      <c r="U28" s="1152"/>
      <c r="V28" s="1152"/>
      <c r="X28" s="1152" t="s">
        <v>295</v>
      </c>
      <c r="Y28" s="1152"/>
      <c r="Z28" s="1152"/>
      <c r="AA28" s="1152"/>
      <c r="AB28" s="1152"/>
      <c r="AC28" s="1152"/>
      <c r="AD28" s="1152"/>
      <c r="AF28" s="1153" t="s">
        <v>296</v>
      </c>
      <c r="AG28" s="1153"/>
      <c r="AH28" s="1153"/>
      <c r="AI28" s="1153"/>
      <c r="AJ28" s="1153"/>
      <c r="AK28" s="1153"/>
      <c r="AL28" s="1153"/>
      <c r="AN28" s="1153" t="s">
        <v>297</v>
      </c>
      <c r="AO28" s="1153"/>
      <c r="AP28" s="1153"/>
      <c r="AQ28" s="1153"/>
      <c r="AR28" s="1153"/>
      <c r="AS28" s="1153"/>
      <c r="AT28" s="1153"/>
    </row>
    <row r="29" spans="1:46" x14ac:dyDescent="0.2">
      <c r="A29" s="1143"/>
      <c r="B29" s="1145"/>
      <c r="C29" s="664">
        <v>2</v>
      </c>
      <c r="D29" s="1073"/>
      <c r="E29" s="666">
        <v>525.33000000000004</v>
      </c>
      <c r="F29" s="1010"/>
      <c r="G29" s="1090">
        <v>324.87</v>
      </c>
      <c r="H29" s="1095">
        <f>SUM(G29:$G$107)</f>
        <v>7671.9299999999967</v>
      </c>
      <c r="I29" s="1054">
        <v>500</v>
      </c>
      <c r="J29" s="668">
        <f t="shared" ref="J29:J60" si="2">J28-I29</f>
        <v>35000</v>
      </c>
      <c r="K29" s="669"/>
      <c r="L29" s="670"/>
      <c r="M29" s="663"/>
      <c r="N29" s="663"/>
      <c r="O29" s="663"/>
      <c r="P29" s="657"/>
      <c r="Q29" s="658"/>
      <c r="R29" s="658"/>
      <c r="S29" s="671"/>
      <c r="T29" s="671" t="s">
        <v>298</v>
      </c>
      <c r="U29" s="658"/>
      <c r="V29" s="672" t="s">
        <v>290</v>
      </c>
      <c r="X29" s="657"/>
      <c r="Y29" s="658"/>
      <c r="Z29" s="658"/>
      <c r="AA29" s="671"/>
      <c r="AB29" s="671" t="s">
        <v>298</v>
      </c>
      <c r="AC29" s="658"/>
      <c r="AD29" s="672" t="s">
        <v>290</v>
      </c>
      <c r="AF29" s="657"/>
      <c r="AG29" s="658"/>
      <c r="AH29" s="658"/>
      <c r="AI29" s="671"/>
      <c r="AJ29" s="671" t="s">
        <v>298</v>
      </c>
      <c r="AK29" s="658"/>
      <c r="AL29" s="672" t="s">
        <v>290</v>
      </c>
      <c r="AN29" s="657"/>
      <c r="AO29" s="658"/>
      <c r="AP29" s="658"/>
      <c r="AQ29" s="671"/>
      <c r="AR29" s="671" t="s">
        <v>298</v>
      </c>
      <c r="AS29" s="658"/>
      <c r="AT29" s="672" t="s">
        <v>290</v>
      </c>
    </row>
    <row r="30" spans="1:46" x14ac:dyDescent="0.2">
      <c r="A30" s="1143"/>
      <c r="B30" s="1145"/>
      <c r="C30" s="664">
        <v>3</v>
      </c>
      <c r="D30" s="1067"/>
      <c r="E30" s="666">
        <v>527.30999999999995</v>
      </c>
      <c r="F30" s="1010"/>
      <c r="G30" s="1090">
        <v>322.89</v>
      </c>
      <c r="H30" s="1095">
        <f>SUM(G30:$G$107)</f>
        <v>7347.0599999999977</v>
      </c>
      <c r="I30" s="1054">
        <v>500</v>
      </c>
      <c r="J30" s="668">
        <f t="shared" si="2"/>
        <v>34500</v>
      </c>
      <c r="K30" s="669"/>
      <c r="L30" s="670"/>
      <c r="M30" s="663"/>
      <c r="N30" s="663"/>
      <c r="O30" s="663"/>
      <c r="P30" s="673">
        <v>2024</v>
      </c>
      <c r="Q30" s="674" t="s">
        <v>299</v>
      </c>
      <c r="R30" s="675">
        <v>23000</v>
      </c>
      <c r="V30" s="676"/>
      <c r="X30" s="673">
        <v>2024</v>
      </c>
      <c r="Y30" s="674" t="s">
        <v>299</v>
      </c>
      <c r="Z30" s="675">
        <v>23000</v>
      </c>
      <c r="AC30" s="675">
        <f>M39</f>
        <v>0</v>
      </c>
      <c r="AD30" s="676"/>
      <c r="AF30" s="673">
        <v>2024</v>
      </c>
      <c r="AG30" s="674" t="s">
        <v>299</v>
      </c>
      <c r="AH30" s="655">
        <v>23000</v>
      </c>
      <c r="AL30" s="676"/>
      <c r="AN30" s="673">
        <v>2024</v>
      </c>
      <c r="AO30" s="674" t="s">
        <v>299</v>
      </c>
      <c r="AP30" s="655">
        <v>23000</v>
      </c>
      <c r="AT30" s="676"/>
    </row>
    <row r="31" spans="1:46" x14ac:dyDescent="0.2">
      <c r="A31" s="1143"/>
      <c r="B31" s="1145"/>
      <c r="C31" s="664">
        <v>4</v>
      </c>
      <c r="D31" s="1073"/>
      <c r="E31" s="666">
        <v>529.29999999999995</v>
      </c>
      <c r="F31" s="1010"/>
      <c r="G31" s="1090">
        <v>320.89999999999998</v>
      </c>
      <c r="H31" s="1095">
        <f>SUM(G31:$G$107)</f>
        <v>7024.1699999999983</v>
      </c>
      <c r="I31" s="1054">
        <v>500</v>
      </c>
      <c r="J31" s="668">
        <f t="shared" si="2"/>
        <v>34000</v>
      </c>
      <c r="K31" s="669"/>
      <c r="L31" s="670"/>
      <c r="M31" s="663"/>
      <c r="N31" s="663"/>
      <c r="O31" s="663"/>
      <c r="P31" s="673"/>
      <c r="V31" s="676"/>
      <c r="X31" s="673"/>
      <c r="AD31" s="676"/>
      <c r="AF31" s="673"/>
      <c r="AL31" s="676"/>
      <c r="AN31" s="673"/>
      <c r="AT31" s="676"/>
    </row>
    <row r="32" spans="1:46" x14ac:dyDescent="0.2">
      <c r="A32" s="1143"/>
      <c r="B32" s="1145"/>
      <c r="C32" s="664">
        <v>5</v>
      </c>
      <c r="D32" s="1067"/>
      <c r="E32" s="666">
        <v>531.29</v>
      </c>
      <c r="F32" s="1010"/>
      <c r="G32" s="1090">
        <v>318.91000000000003</v>
      </c>
      <c r="H32" s="1095">
        <f>SUM(G32:$G$107)</f>
        <v>6703.2699999999986</v>
      </c>
      <c r="I32" s="1054">
        <v>500</v>
      </c>
      <c r="J32" s="668">
        <f t="shared" si="2"/>
        <v>33500</v>
      </c>
      <c r="K32" s="669"/>
      <c r="L32" s="670"/>
      <c r="M32" s="663"/>
      <c r="N32" s="663"/>
      <c r="O32" s="663"/>
      <c r="P32" s="673">
        <v>2025</v>
      </c>
      <c r="Q32" s="655" t="s">
        <v>300</v>
      </c>
      <c r="S32" s="675">
        <v>66500</v>
      </c>
      <c r="V32" s="676"/>
      <c r="X32" s="673">
        <v>2025</v>
      </c>
      <c r="Y32" s="655" t="s">
        <v>300</v>
      </c>
      <c r="AA32" s="675">
        <v>66500</v>
      </c>
      <c r="AD32" s="676"/>
      <c r="AF32" s="673">
        <v>2025</v>
      </c>
      <c r="AG32" s="655" t="s">
        <v>300</v>
      </c>
      <c r="AI32" s="675">
        <v>66500</v>
      </c>
      <c r="AL32" s="676"/>
      <c r="AN32" s="673">
        <v>2025</v>
      </c>
      <c r="AO32" s="655" t="s">
        <v>300</v>
      </c>
      <c r="AQ32" s="675">
        <v>66500</v>
      </c>
      <c r="AT32" s="676"/>
    </row>
    <row r="33" spans="1:47" x14ac:dyDescent="0.2">
      <c r="A33" s="1143"/>
      <c r="B33" s="1145"/>
      <c r="C33" s="664">
        <v>6</v>
      </c>
      <c r="D33" s="1074">
        <v>14000</v>
      </c>
      <c r="E33" s="666">
        <v>533.29999999999995</v>
      </c>
      <c r="F33" s="1010"/>
      <c r="G33" s="1090">
        <v>316.89999999999998</v>
      </c>
      <c r="H33" s="1095">
        <f>SUM(G33:$G$107)</f>
        <v>6384.3599999999988</v>
      </c>
      <c r="I33" s="1054">
        <v>500</v>
      </c>
      <c r="J33" s="668">
        <f t="shared" si="2"/>
        <v>33000</v>
      </c>
      <c r="K33" s="669"/>
      <c r="L33" s="670"/>
      <c r="M33" s="663"/>
      <c r="N33" s="663"/>
      <c r="O33" s="663"/>
      <c r="P33" s="673"/>
      <c r="Q33" s="655" t="s">
        <v>299</v>
      </c>
      <c r="T33" s="675">
        <v>15500</v>
      </c>
      <c r="U33" s="677"/>
      <c r="V33" s="676"/>
      <c r="X33" s="673"/>
      <c r="Y33" s="655" t="s">
        <v>299</v>
      </c>
      <c r="AB33" s="675">
        <v>15500</v>
      </c>
      <c r="AC33" s="677"/>
      <c r="AD33" s="676"/>
      <c r="AF33" s="673"/>
      <c r="AG33" s="655" t="s">
        <v>299</v>
      </c>
      <c r="AJ33" s="675">
        <v>23000</v>
      </c>
      <c r="AK33" s="677"/>
      <c r="AL33" s="676"/>
      <c r="AN33" s="673"/>
      <c r="AO33" s="655" t="s">
        <v>299</v>
      </c>
      <c r="AR33" s="675">
        <v>15500</v>
      </c>
      <c r="AS33" s="677"/>
      <c r="AT33" s="676"/>
    </row>
    <row r="34" spans="1:47" x14ac:dyDescent="0.2">
      <c r="A34" s="1143"/>
      <c r="B34" s="1145"/>
      <c r="C34" s="664">
        <v>7</v>
      </c>
      <c r="D34" s="1067"/>
      <c r="E34" s="666">
        <v>535.30999999999995</v>
      </c>
      <c r="F34" s="1010"/>
      <c r="G34" s="1090">
        <v>314.89</v>
      </c>
      <c r="H34" s="1095">
        <f>SUM(G34:$G$107)</f>
        <v>6067.4599999999991</v>
      </c>
      <c r="I34" s="1054">
        <v>500</v>
      </c>
      <c r="J34" s="668">
        <f t="shared" si="2"/>
        <v>32500</v>
      </c>
      <c r="K34" s="669"/>
      <c r="L34" s="670"/>
      <c r="M34" s="663"/>
      <c r="N34" s="663"/>
      <c r="O34" s="663"/>
      <c r="P34" s="673"/>
      <c r="Q34" s="655" t="s">
        <v>301</v>
      </c>
      <c r="T34" s="675">
        <v>4000</v>
      </c>
      <c r="V34" s="676"/>
      <c r="X34" s="673"/>
      <c r="Y34" s="655" t="s">
        <v>301</v>
      </c>
      <c r="AB34" s="675">
        <v>4000</v>
      </c>
      <c r="AD34" s="676"/>
      <c r="AF34" s="673"/>
      <c r="AG34" s="655" t="s">
        <v>301</v>
      </c>
      <c r="AJ34" s="675">
        <v>4000</v>
      </c>
      <c r="AL34" s="676"/>
      <c r="AN34" s="673"/>
      <c r="AO34" s="655" t="s">
        <v>301</v>
      </c>
      <c r="AR34" s="675">
        <v>1500</v>
      </c>
      <c r="AT34" s="676"/>
    </row>
    <row r="35" spans="1:47" x14ac:dyDescent="0.2">
      <c r="A35" s="1143"/>
      <c r="B35" s="1145"/>
      <c r="C35" s="664">
        <v>8</v>
      </c>
      <c r="D35" s="1073"/>
      <c r="E35" s="975">
        <v>537.32000000000005</v>
      </c>
      <c r="F35" s="1010"/>
      <c r="G35" s="1091">
        <v>312.88</v>
      </c>
      <c r="H35" s="1095">
        <f>SUM(G35:$G$107)</f>
        <v>5752.5699999999988</v>
      </c>
      <c r="I35" s="1055">
        <v>500</v>
      </c>
      <c r="J35" s="668">
        <f t="shared" si="2"/>
        <v>32000</v>
      </c>
      <c r="K35" s="680"/>
      <c r="L35" s="681"/>
      <c r="M35" s="663"/>
      <c r="N35" s="663"/>
      <c r="O35" s="663"/>
      <c r="P35" s="673"/>
      <c r="Q35" s="655" t="s">
        <v>302</v>
      </c>
      <c r="T35" s="675">
        <v>7000</v>
      </c>
      <c r="V35" s="682">
        <v>3600</v>
      </c>
      <c r="X35" s="673"/>
      <c r="Y35" s="655" t="s">
        <v>302</v>
      </c>
      <c r="AB35" s="675">
        <v>7000</v>
      </c>
      <c r="AD35" s="682">
        <v>3600</v>
      </c>
      <c r="AF35" s="673"/>
      <c r="AG35" s="655" t="s">
        <v>302</v>
      </c>
      <c r="AJ35" s="675">
        <v>7000</v>
      </c>
      <c r="AL35" s="682">
        <v>3600</v>
      </c>
      <c r="AN35" s="673"/>
      <c r="AO35" s="655" t="s">
        <v>302</v>
      </c>
      <c r="AR35" s="675">
        <v>7000</v>
      </c>
      <c r="AT35" s="682">
        <v>3600</v>
      </c>
    </row>
    <row r="36" spans="1:47" x14ac:dyDescent="0.2">
      <c r="A36" s="1143"/>
      <c r="B36" s="1145"/>
      <c r="C36" s="664">
        <v>9</v>
      </c>
      <c r="D36" s="1067"/>
      <c r="E36" s="976">
        <v>539.35</v>
      </c>
      <c r="F36" s="1010"/>
      <c r="G36" s="1092">
        <v>310.85000000000002</v>
      </c>
      <c r="H36" s="1095">
        <f>SUM(G36:$G$107)</f>
        <v>5439.69</v>
      </c>
      <c r="I36" s="1055">
        <v>500</v>
      </c>
      <c r="J36" s="668">
        <f t="shared" si="2"/>
        <v>31500</v>
      </c>
      <c r="K36" s="680"/>
      <c r="L36" s="681"/>
      <c r="M36" s="663"/>
      <c r="N36" s="663"/>
      <c r="O36" s="663"/>
      <c r="P36" s="673"/>
      <c r="Q36" s="655" t="s">
        <v>303</v>
      </c>
      <c r="T36" s="675">
        <v>0</v>
      </c>
      <c r="V36" s="676"/>
      <c r="X36" s="673"/>
      <c r="Y36" s="655" t="s">
        <v>303</v>
      </c>
      <c r="AB36" s="675">
        <v>0</v>
      </c>
      <c r="AC36" s="675">
        <f>M51</f>
        <v>0</v>
      </c>
      <c r="AD36" s="676"/>
      <c r="AF36" s="673"/>
      <c r="AG36" s="655" t="s">
        <v>303</v>
      </c>
      <c r="AJ36" s="675">
        <v>0</v>
      </c>
      <c r="AL36" s="676"/>
      <c r="AN36" s="673"/>
      <c r="AO36" s="655" t="s">
        <v>303</v>
      </c>
      <c r="AR36" s="675">
        <v>0</v>
      </c>
      <c r="AT36" s="676"/>
    </row>
    <row r="37" spans="1:47" x14ac:dyDescent="0.2">
      <c r="A37" s="1143"/>
      <c r="B37" s="1145"/>
      <c r="C37" s="664">
        <v>10</v>
      </c>
      <c r="D37" s="1073"/>
      <c r="E37" s="975">
        <v>541.38</v>
      </c>
      <c r="F37" s="1010"/>
      <c r="G37" s="1091">
        <v>308.82</v>
      </c>
      <c r="H37" s="1095">
        <f>SUM(G37:$G$107)</f>
        <v>5128.8399999999992</v>
      </c>
      <c r="I37" s="1055">
        <v>500</v>
      </c>
      <c r="J37" s="668">
        <f t="shared" si="2"/>
        <v>31000</v>
      </c>
      <c r="K37" s="680"/>
      <c r="L37" s="681"/>
      <c r="M37" s="663"/>
      <c r="N37" s="663"/>
      <c r="O37" s="663"/>
      <c r="P37" s="673"/>
      <c r="Q37" s="683" t="s">
        <v>38</v>
      </c>
      <c r="R37" s="683"/>
      <c r="T37" s="684">
        <f>SUM(T33:T36)</f>
        <v>26500</v>
      </c>
      <c r="V37" s="685">
        <f>SUM(V35:V36)</f>
        <v>3600</v>
      </c>
      <c r="X37" s="673"/>
      <c r="Y37" s="683" t="s">
        <v>38</v>
      </c>
      <c r="Z37" s="683"/>
      <c r="AB37" s="684">
        <f>SUM(AB33:AB36)</f>
        <v>26500</v>
      </c>
      <c r="AC37" s="684">
        <f>AC30+AC36</f>
        <v>0</v>
      </c>
      <c r="AD37" s="685">
        <f>SUM(AD35:AD36)</f>
        <v>3600</v>
      </c>
      <c r="AF37" s="673"/>
      <c r="AG37" s="683" t="s">
        <v>38</v>
      </c>
      <c r="AH37" s="683"/>
      <c r="AJ37" s="684">
        <f>SUM(AJ33:AJ36)</f>
        <v>34000</v>
      </c>
      <c r="AK37" s="684">
        <f>SUM(AK33:AK36)</f>
        <v>0</v>
      </c>
      <c r="AL37" s="685">
        <f>SUM(AL35:AL36)</f>
        <v>3600</v>
      </c>
      <c r="AN37" s="673"/>
      <c r="AO37" s="683" t="s">
        <v>38</v>
      </c>
      <c r="AP37" s="683"/>
      <c r="AR37" s="684">
        <f>SUM(AR33:AR36)</f>
        <v>24000</v>
      </c>
      <c r="AS37" s="684">
        <f>SUM(AS33:AS36)</f>
        <v>0</v>
      </c>
      <c r="AT37" s="685">
        <f>SUM(AT35:AT36)</f>
        <v>3600</v>
      </c>
    </row>
    <row r="38" spans="1:47" x14ac:dyDescent="0.2">
      <c r="A38" s="1143"/>
      <c r="B38" s="1145"/>
      <c r="C38" s="664">
        <v>11</v>
      </c>
      <c r="D38" s="1067"/>
      <c r="E38" s="976">
        <v>596.96</v>
      </c>
      <c r="F38" s="1010"/>
      <c r="G38" s="1092">
        <v>253.24</v>
      </c>
      <c r="H38" s="1095">
        <f>SUM(G38:$G$107)</f>
        <v>4820.0200000000004</v>
      </c>
      <c r="I38" s="1055">
        <v>500</v>
      </c>
      <c r="J38" s="668">
        <f t="shared" si="2"/>
        <v>30500</v>
      </c>
      <c r="K38" s="680"/>
      <c r="L38" s="681"/>
      <c r="M38" s="663"/>
      <c r="N38" s="663"/>
      <c r="O38" s="663"/>
      <c r="P38" s="673"/>
      <c r="V38" s="676"/>
      <c r="X38" s="673"/>
      <c r="AD38" s="676"/>
      <c r="AF38" s="673"/>
      <c r="AL38" s="676"/>
      <c r="AN38" s="673"/>
      <c r="AT38" s="676"/>
    </row>
    <row r="39" spans="1:47" ht="13.5" thickBot="1" x14ac:dyDescent="0.25">
      <c r="A39" s="1144"/>
      <c r="B39" s="1141"/>
      <c r="C39" s="693">
        <v>12</v>
      </c>
      <c r="D39" s="1069"/>
      <c r="E39" s="978">
        <v>599.21</v>
      </c>
      <c r="F39" s="1012"/>
      <c r="G39" s="1093">
        <v>250.99</v>
      </c>
      <c r="H39" s="1096">
        <f>SUM(G39:$G$107)</f>
        <v>4566.7800000000016</v>
      </c>
      <c r="I39" s="1056">
        <v>500</v>
      </c>
      <c r="J39" s="1008">
        <f t="shared" si="2"/>
        <v>30000</v>
      </c>
      <c r="K39" s="696"/>
      <c r="L39" s="697"/>
      <c r="M39" s="686"/>
      <c r="N39" s="686"/>
      <c r="O39" s="686"/>
      <c r="P39" s="673">
        <v>2026</v>
      </c>
      <c r="Q39" s="655" t="s">
        <v>300</v>
      </c>
      <c r="S39" s="675">
        <f>S32-T33-T34-T35-T36</f>
        <v>40000</v>
      </c>
      <c r="V39" s="676"/>
      <c r="X39" s="673">
        <v>2026</v>
      </c>
      <c r="Y39" s="655" t="s">
        <v>300</v>
      </c>
      <c r="AA39" s="675">
        <f>AA32-AB33-AB34-AB35-AB36</f>
        <v>40000</v>
      </c>
      <c r="AD39" s="676"/>
      <c r="AF39" s="673">
        <v>2026</v>
      </c>
      <c r="AG39" s="655" t="s">
        <v>300</v>
      </c>
      <c r="AI39" s="675">
        <f>AI32-AJ33-AJ34-AJ35-AJ36</f>
        <v>32500</v>
      </c>
      <c r="AL39" s="676"/>
      <c r="AN39" s="673">
        <v>2026</v>
      </c>
      <c r="AO39" s="655" t="s">
        <v>300</v>
      </c>
      <c r="AQ39" s="675">
        <f>AQ32-AR33-AR34-AR35-AR36</f>
        <v>42500</v>
      </c>
      <c r="AT39" s="676"/>
      <c r="AU39" s="655">
        <v>42500</v>
      </c>
    </row>
    <row r="40" spans="1:47" ht="13.5" thickBot="1" x14ac:dyDescent="0.25">
      <c r="A40" s="1138">
        <v>2</v>
      </c>
      <c r="B40" s="1139">
        <v>2025</v>
      </c>
      <c r="C40" s="687">
        <v>1</v>
      </c>
      <c r="D40" s="1065">
        <v>15404.5</v>
      </c>
      <c r="E40" s="977">
        <v>601.47</v>
      </c>
      <c r="F40" s="1011"/>
      <c r="G40" s="1094">
        <v>248.73</v>
      </c>
      <c r="H40" s="1097">
        <f>SUM(G40:$G$107)</f>
        <v>4315.7900000000009</v>
      </c>
      <c r="I40" s="1057">
        <v>500</v>
      </c>
      <c r="J40" s="1009">
        <f t="shared" si="2"/>
        <v>29500</v>
      </c>
      <c r="K40" s="690"/>
      <c r="L40" s="691"/>
      <c r="M40" s="663"/>
      <c r="N40" s="663"/>
      <c r="O40" s="663"/>
      <c r="P40" s="673"/>
      <c r="Q40" s="655" t="s">
        <v>299</v>
      </c>
      <c r="T40" s="675">
        <f>R30-T33</f>
        <v>7500</v>
      </c>
      <c r="U40" s="677"/>
      <c r="V40" s="676"/>
      <c r="X40" s="673"/>
      <c r="Y40" s="655" t="s">
        <v>299</v>
      </c>
      <c r="AB40" s="675">
        <f>Z30-AB33</f>
        <v>7500</v>
      </c>
      <c r="AC40" s="677"/>
      <c r="AD40" s="676"/>
      <c r="AF40" s="673"/>
      <c r="AG40" s="655" t="s">
        <v>299</v>
      </c>
      <c r="AJ40" s="675">
        <f>AH30-AJ33</f>
        <v>0</v>
      </c>
      <c r="AK40" s="677"/>
      <c r="AL40" s="676"/>
      <c r="AN40" s="673"/>
      <c r="AO40" s="655" t="s">
        <v>299</v>
      </c>
      <c r="AR40" s="675">
        <v>0</v>
      </c>
      <c r="AS40" s="677"/>
      <c r="AT40" s="676"/>
    </row>
    <row r="41" spans="1:47" ht="13.5" thickBot="1" x14ac:dyDescent="0.25">
      <c r="A41" s="1138"/>
      <c r="B41" s="1139"/>
      <c r="C41" s="664">
        <v>2</v>
      </c>
      <c r="D41" s="1067"/>
      <c r="E41" s="975">
        <v>897.77</v>
      </c>
      <c r="F41" s="1010"/>
      <c r="G41" s="1091">
        <v>126.54</v>
      </c>
      <c r="H41" s="1095">
        <f>SUM(G41:$G$107)</f>
        <v>4067.0600000000013</v>
      </c>
      <c r="I41" s="1055">
        <v>500</v>
      </c>
      <c r="J41" s="668">
        <f t="shared" si="2"/>
        <v>29000</v>
      </c>
      <c r="K41" s="680"/>
      <c r="L41" s="681"/>
      <c r="M41" s="663"/>
      <c r="N41" s="663"/>
      <c r="O41" s="663"/>
      <c r="P41" s="673"/>
      <c r="Q41" s="655" t="s">
        <v>301</v>
      </c>
      <c r="T41" s="675">
        <v>4000</v>
      </c>
      <c r="V41" s="676"/>
      <c r="X41" s="673"/>
      <c r="Y41" s="655" t="s">
        <v>301</v>
      </c>
      <c r="AB41" s="675">
        <v>4000</v>
      </c>
      <c r="AD41" s="676"/>
      <c r="AF41" s="673"/>
      <c r="AG41" s="655" t="s">
        <v>301</v>
      </c>
      <c r="AJ41" s="675">
        <v>4000</v>
      </c>
      <c r="AL41" s="676"/>
      <c r="AN41" s="673"/>
      <c r="AO41" s="655" t="s">
        <v>301</v>
      </c>
      <c r="AR41" s="675">
        <v>0</v>
      </c>
      <c r="AT41" s="676"/>
    </row>
    <row r="42" spans="1:47" ht="13.5" thickBot="1" x14ac:dyDescent="0.25">
      <c r="A42" s="1138"/>
      <c r="B42" s="1139"/>
      <c r="C42" s="664">
        <v>3</v>
      </c>
      <c r="D42" s="1067"/>
      <c r="E42" s="976">
        <v>685.1</v>
      </c>
      <c r="F42" s="1010"/>
      <c r="G42" s="1092">
        <v>123</v>
      </c>
      <c r="H42" s="1095">
        <f>SUM(G42:$G$107)</f>
        <v>3940.5200000000013</v>
      </c>
      <c r="I42" s="1055">
        <v>500</v>
      </c>
      <c r="J42" s="668">
        <f t="shared" si="2"/>
        <v>28500</v>
      </c>
      <c r="K42" s="680"/>
      <c r="L42" s="681"/>
      <c r="M42" s="663"/>
      <c r="N42" s="663"/>
      <c r="O42" s="663"/>
      <c r="P42" s="673"/>
      <c r="Q42" s="655" t="s">
        <v>302</v>
      </c>
      <c r="T42" s="675">
        <v>8400</v>
      </c>
      <c r="V42" s="682">
        <v>3600</v>
      </c>
      <c r="X42" s="673"/>
      <c r="Y42" s="655" t="s">
        <v>302</v>
      </c>
      <c r="AB42" s="675">
        <v>8400</v>
      </c>
      <c r="AD42" s="682">
        <v>3600</v>
      </c>
      <c r="AF42" s="673"/>
      <c r="AG42" s="655" t="s">
        <v>302</v>
      </c>
      <c r="AJ42" s="675">
        <v>8400</v>
      </c>
      <c r="AL42" s="682">
        <v>3600</v>
      </c>
      <c r="AN42" s="673"/>
      <c r="AO42" s="655" t="s">
        <v>302</v>
      </c>
      <c r="AR42" s="675">
        <v>8400</v>
      </c>
      <c r="AT42" s="682">
        <v>3600</v>
      </c>
    </row>
    <row r="43" spans="1:47" ht="13.5" thickBot="1" x14ac:dyDescent="0.25">
      <c r="A43" s="1138"/>
      <c r="B43" s="1139"/>
      <c r="C43" s="664">
        <v>4</v>
      </c>
      <c r="D43" s="1067"/>
      <c r="E43" s="975">
        <v>686.82</v>
      </c>
      <c r="F43" s="1010"/>
      <c r="G43" s="1091">
        <v>121.28</v>
      </c>
      <c r="H43" s="1095">
        <f>SUM(G43:$G$107)</f>
        <v>3817.5200000000013</v>
      </c>
      <c r="I43" s="1055">
        <v>500</v>
      </c>
      <c r="J43" s="668">
        <f t="shared" si="2"/>
        <v>28000</v>
      </c>
      <c r="K43" s="680"/>
      <c r="L43" s="681"/>
      <c r="M43" s="663"/>
      <c r="N43" s="663"/>
      <c r="O43" s="663"/>
      <c r="P43" s="673"/>
      <c r="Q43" s="655" t="s">
        <v>303</v>
      </c>
      <c r="T43" s="675">
        <v>0</v>
      </c>
      <c r="V43" s="676"/>
      <c r="X43" s="673"/>
      <c r="Y43" s="655" t="s">
        <v>303</v>
      </c>
      <c r="AB43" s="675">
        <v>0</v>
      </c>
      <c r="AC43" s="675">
        <f>M63</f>
        <v>1700</v>
      </c>
      <c r="AD43" s="676"/>
      <c r="AF43" s="673"/>
      <c r="AG43" s="655" t="s">
        <v>303</v>
      </c>
      <c r="AJ43" s="675">
        <v>11000</v>
      </c>
      <c r="AL43" s="676"/>
      <c r="AN43" s="673"/>
      <c r="AO43" s="655" t="s">
        <v>303</v>
      </c>
      <c r="AR43" s="675">
        <v>0</v>
      </c>
      <c r="AT43" s="676"/>
    </row>
    <row r="44" spans="1:47" ht="13.5" thickBot="1" x14ac:dyDescent="0.25">
      <c r="A44" s="1138"/>
      <c r="B44" s="1139"/>
      <c r="C44" s="664">
        <v>5</v>
      </c>
      <c r="D44" s="1067"/>
      <c r="E44" s="976">
        <v>688.54</v>
      </c>
      <c r="F44" s="1010"/>
      <c r="G44" s="1092">
        <v>119.56</v>
      </c>
      <c r="H44" s="1095">
        <f>SUM(G44:$G$107)</f>
        <v>3696.2400000000011</v>
      </c>
      <c r="I44" s="1055">
        <v>500</v>
      </c>
      <c r="J44" s="668">
        <f t="shared" si="2"/>
        <v>27500</v>
      </c>
      <c r="K44" s="680"/>
      <c r="L44" s="681"/>
      <c r="M44" s="663"/>
      <c r="N44" s="663"/>
      <c r="O44" s="663"/>
      <c r="P44" s="673"/>
      <c r="Q44" s="683" t="s">
        <v>38</v>
      </c>
      <c r="R44" s="683"/>
      <c r="T44" s="684">
        <f>SUM(T40:T43)</f>
        <v>19900</v>
      </c>
      <c r="V44" s="685">
        <f>SUM(V42:V43)</f>
        <v>3600</v>
      </c>
      <c r="X44" s="673"/>
      <c r="Y44" s="683" t="s">
        <v>38</v>
      </c>
      <c r="Z44" s="683"/>
      <c r="AB44" s="684">
        <f>SUM(AB40:AB43)</f>
        <v>19900</v>
      </c>
      <c r="AC44" s="684">
        <f>AC30+AC36+AC43</f>
        <v>1700</v>
      </c>
      <c r="AD44" s="685">
        <f>SUM(AD42:AD43)</f>
        <v>3600</v>
      </c>
      <c r="AF44" s="673"/>
      <c r="AG44" s="683" t="s">
        <v>38</v>
      </c>
      <c r="AH44" s="683"/>
      <c r="AJ44" s="684">
        <f>SUM(AJ40:AJ43)</f>
        <v>23400</v>
      </c>
      <c r="AK44" s="684">
        <f>SUM(AK40:AK43)</f>
        <v>0</v>
      </c>
      <c r="AL44" s="685">
        <f>SUM(AL42:AL43)</f>
        <v>3600</v>
      </c>
      <c r="AN44" s="673"/>
      <c r="AO44" s="683" t="s">
        <v>38</v>
      </c>
      <c r="AP44" s="683"/>
      <c r="AR44" s="684">
        <f>SUM(AR40:AR43)</f>
        <v>8400</v>
      </c>
      <c r="AS44" s="684">
        <f>SUM(AS40:AS43)</f>
        <v>0</v>
      </c>
      <c r="AT44" s="685">
        <f>SUM(AT42:AT43)</f>
        <v>3600</v>
      </c>
    </row>
    <row r="45" spans="1:47" ht="13.5" thickBot="1" x14ac:dyDescent="0.25">
      <c r="A45" s="1138"/>
      <c r="B45" s="1139"/>
      <c r="C45" s="664">
        <v>6</v>
      </c>
      <c r="D45" s="1067"/>
      <c r="E45" s="975">
        <v>690.26</v>
      </c>
      <c r="F45" s="1010"/>
      <c r="G45" s="1091">
        <v>117.84</v>
      </c>
      <c r="H45" s="1095">
        <f>SUM(G45:$G$107)</f>
        <v>3576.6800000000012</v>
      </c>
      <c r="I45" s="1055">
        <v>500</v>
      </c>
      <c r="J45" s="668">
        <f t="shared" si="2"/>
        <v>27000</v>
      </c>
      <c r="K45" s="680"/>
      <c r="L45" s="681"/>
      <c r="M45" s="663"/>
      <c r="N45" s="663"/>
      <c r="O45" s="663"/>
      <c r="P45" s="673"/>
      <c r="V45" s="676"/>
      <c r="X45" s="673"/>
      <c r="AD45" s="676"/>
      <c r="AF45" s="673"/>
      <c r="AL45" s="676"/>
      <c r="AN45" s="673"/>
      <c r="AT45" s="676"/>
    </row>
    <row r="46" spans="1:47" ht="13.5" thickBot="1" x14ac:dyDescent="0.25">
      <c r="A46" s="1138"/>
      <c r="B46" s="1139"/>
      <c r="C46" s="664">
        <v>7</v>
      </c>
      <c r="D46" s="1067"/>
      <c r="E46" s="976">
        <v>691.99</v>
      </c>
      <c r="F46" s="1010"/>
      <c r="G46" s="1092">
        <v>116.11</v>
      </c>
      <c r="H46" s="1095">
        <f>SUM(G46:$G$107)</f>
        <v>3458.8400000000006</v>
      </c>
      <c r="I46" s="1055">
        <v>500</v>
      </c>
      <c r="J46" s="668">
        <f t="shared" si="2"/>
        <v>26500</v>
      </c>
      <c r="K46" s="680"/>
      <c r="L46" s="681"/>
      <c r="M46" s="663"/>
      <c r="N46" s="663"/>
      <c r="O46" s="663"/>
      <c r="P46" s="673">
        <v>2027</v>
      </c>
      <c r="Q46" s="655" t="s">
        <v>300</v>
      </c>
      <c r="S46" s="675">
        <f>S39-T40-T41-T42-T43</f>
        <v>20100</v>
      </c>
      <c r="V46" s="676"/>
      <c r="X46" s="673">
        <v>2027</v>
      </c>
      <c r="Y46" s="655" t="s">
        <v>300</v>
      </c>
      <c r="AA46" s="675">
        <f>AA39-AB40-AB41-AB42-AB43</f>
        <v>20100</v>
      </c>
      <c r="AD46" s="676"/>
      <c r="AF46" s="673">
        <v>2027</v>
      </c>
      <c r="AG46" s="655" t="s">
        <v>300</v>
      </c>
      <c r="AI46" s="675">
        <f>AI39-AJ40-AJ41-AJ42-AJ43</f>
        <v>9100</v>
      </c>
      <c r="AL46" s="676"/>
      <c r="AN46" s="673">
        <v>2027</v>
      </c>
      <c r="AO46" s="655" t="s">
        <v>300</v>
      </c>
      <c r="AQ46" s="675">
        <f>AQ39-AR40-AR41-AR42-AR43</f>
        <v>34100</v>
      </c>
      <c r="AT46" s="676"/>
      <c r="AU46" s="655">
        <v>34100</v>
      </c>
    </row>
    <row r="47" spans="1:47" ht="13.5" thickBot="1" x14ac:dyDescent="0.25">
      <c r="A47" s="1138"/>
      <c r="B47" s="1139"/>
      <c r="C47" s="664">
        <v>8</v>
      </c>
      <c r="D47" s="1067"/>
      <c r="E47" s="975">
        <v>693.72</v>
      </c>
      <c r="F47" s="1010"/>
      <c r="G47" s="1091">
        <v>114.38</v>
      </c>
      <c r="H47" s="1095">
        <f>SUM(G47:$G$107)</f>
        <v>3342.7300000000005</v>
      </c>
      <c r="I47" s="1055">
        <v>500</v>
      </c>
      <c r="J47" s="668">
        <f t="shared" si="2"/>
        <v>26000</v>
      </c>
      <c r="K47" s="680"/>
      <c r="L47" s="681"/>
      <c r="M47" s="663"/>
      <c r="N47" s="663"/>
      <c r="O47" s="663"/>
      <c r="P47" s="673"/>
      <c r="Q47" s="655" t="s">
        <v>299</v>
      </c>
      <c r="T47" s="675">
        <f>R30-T33-T40</f>
        <v>0</v>
      </c>
      <c r="U47" s="692"/>
      <c r="V47" s="676"/>
      <c r="X47" s="673"/>
      <c r="Y47" s="655" t="s">
        <v>299</v>
      </c>
      <c r="AB47" s="675">
        <f>Z30-AB33-AB40</f>
        <v>0</v>
      </c>
      <c r="AC47" s="692"/>
      <c r="AD47" s="676"/>
      <c r="AF47" s="673"/>
      <c r="AG47" s="655" t="s">
        <v>299</v>
      </c>
      <c r="AJ47" s="675">
        <f>AH30-AJ33-AJ40</f>
        <v>0</v>
      </c>
      <c r="AK47" s="692"/>
      <c r="AL47" s="676"/>
      <c r="AN47" s="673"/>
      <c r="AO47" s="655" t="s">
        <v>299</v>
      </c>
      <c r="AR47" s="675">
        <v>0</v>
      </c>
      <c r="AS47" s="692"/>
      <c r="AT47" s="676"/>
    </row>
    <row r="48" spans="1:47" ht="13.5" thickBot="1" x14ac:dyDescent="0.25">
      <c r="A48" s="1138"/>
      <c r="B48" s="1139"/>
      <c r="C48" s="664">
        <v>9</v>
      </c>
      <c r="D48" s="1067"/>
      <c r="E48" s="976">
        <v>695.46</v>
      </c>
      <c r="F48" s="1010"/>
      <c r="G48" s="1092">
        <v>112.64</v>
      </c>
      <c r="H48" s="1095">
        <f>SUM(G48:$G$107)</f>
        <v>3228.3500000000004</v>
      </c>
      <c r="I48" s="1055">
        <v>500</v>
      </c>
      <c r="J48" s="668">
        <f t="shared" si="2"/>
        <v>25500</v>
      </c>
      <c r="K48" s="680"/>
      <c r="L48" s="681"/>
      <c r="M48" s="663"/>
      <c r="N48" s="663"/>
      <c r="O48" s="663"/>
      <c r="P48" s="673"/>
      <c r="Q48" s="655" t="s">
        <v>301</v>
      </c>
      <c r="T48" s="675">
        <v>4000</v>
      </c>
      <c r="V48" s="676"/>
      <c r="X48" s="673"/>
      <c r="Y48" s="655" t="s">
        <v>301</v>
      </c>
      <c r="AB48" s="675">
        <v>4000</v>
      </c>
      <c r="AD48" s="676"/>
      <c r="AF48" s="673"/>
      <c r="AG48" s="655" t="s">
        <v>301</v>
      </c>
      <c r="AJ48" s="675">
        <v>0</v>
      </c>
      <c r="AL48" s="676"/>
      <c r="AN48" s="673"/>
      <c r="AO48" s="655" t="s">
        <v>301</v>
      </c>
      <c r="AR48" s="675">
        <v>0</v>
      </c>
      <c r="AT48" s="676"/>
    </row>
    <row r="49" spans="1:47" ht="13.5" thickBot="1" x14ac:dyDescent="0.25">
      <c r="A49" s="1138"/>
      <c r="B49" s="1139"/>
      <c r="C49" s="664">
        <v>10</v>
      </c>
      <c r="D49" s="1067"/>
      <c r="E49" s="975">
        <v>697.2</v>
      </c>
      <c r="F49" s="1010"/>
      <c r="G49" s="1091">
        <v>110.9</v>
      </c>
      <c r="H49" s="1095">
        <f>SUM(G49:$G$107)</f>
        <v>3115.7100000000005</v>
      </c>
      <c r="I49" s="1055">
        <v>500</v>
      </c>
      <c r="J49" s="668">
        <f t="shared" si="2"/>
        <v>25000</v>
      </c>
      <c r="K49" s="680"/>
      <c r="L49" s="681"/>
      <c r="M49" s="663"/>
      <c r="N49" s="663"/>
      <c r="O49" s="663"/>
      <c r="P49" s="673"/>
      <c r="Q49" s="655" t="s">
        <v>302</v>
      </c>
      <c r="T49" s="675">
        <v>8800</v>
      </c>
      <c r="V49" s="682">
        <v>1500</v>
      </c>
      <c r="X49" s="673"/>
      <c r="Y49" s="655" t="s">
        <v>302</v>
      </c>
      <c r="AB49" s="675">
        <v>8800</v>
      </c>
      <c r="AD49" s="682">
        <v>3600</v>
      </c>
      <c r="AF49" s="673"/>
      <c r="AG49" s="655" t="s">
        <v>302</v>
      </c>
      <c r="AJ49" s="675">
        <v>8800</v>
      </c>
      <c r="AL49" s="682">
        <v>3600</v>
      </c>
      <c r="AN49" s="673"/>
      <c r="AO49" s="655" t="s">
        <v>302</v>
      </c>
      <c r="AR49" s="675">
        <v>8800</v>
      </c>
      <c r="AT49" s="682">
        <v>3600</v>
      </c>
    </row>
    <row r="50" spans="1:47" ht="13.5" thickBot="1" x14ac:dyDescent="0.25">
      <c r="A50" s="1138"/>
      <c r="B50" s="1139"/>
      <c r="C50" s="664">
        <v>11</v>
      </c>
      <c r="D50" s="1067"/>
      <c r="E50" s="976">
        <v>698.95</v>
      </c>
      <c r="F50" s="1010"/>
      <c r="G50" s="1092">
        <v>109.15</v>
      </c>
      <c r="H50" s="1095">
        <f>SUM(G50:$G$107)</f>
        <v>3004.8100000000009</v>
      </c>
      <c r="I50" s="1055">
        <v>500</v>
      </c>
      <c r="J50" s="668">
        <f t="shared" si="2"/>
        <v>24500</v>
      </c>
      <c r="K50" s="680"/>
      <c r="L50" s="681"/>
      <c r="M50" s="663"/>
      <c r="N50" s="663"/>
      <c r="O50" s="663"/>
      <c r="P50" s="673"/>
      <c r="Q50" s="655" t="s">
        <v>303</v>
      </c>
      <c r="T50" s="675">
        <v>8000</v>
      </c>
      <c r="V50" s="676"/>
      <c r="X50" s="673"/>
      <c r="Y50" s="655" t="s">
        <v>303</v>
      </c>
      <c r="AB50" s="675">
        <v>0</v>
      </c>
      <c r="AC50" s="675">
        <f>M71+M75</f>
        <v>5100</v>
      </c>
      <c r="AD50" s="676"/>
      <c r="AF50" s="673"/>
      <c r="AG50" s="655" t="s">
        <v>303</v>
      </c>
      <c r="AJ50" s="675">
        <v>0</v>
      </c>
      <c r="AK50" s="675">
        <v>3925</v>
      </c>
      <c r="AL50" s="676"/>
      <c r="AN50" s="673"/>
      <c r="AO50" s="655" t="s">
        <v>303</v>
      </c>
      <c r="AR50" s="675">
        <v>0</v>
      </c>
      <c r="AS50" s="675">
        <v>3925</v>
      </c>
      <c r="AT50" s="676"/>
    </row>
    <row r="51" spans="1:47" ht="13.5" thickBot="1" x14ac:dyDescent="0.25">
      <c r="A51" s="1138"/>
      <c r="B51" s="1139"/>
      <c r="C51" s="693">
        <v>12</v>
      </c>
      <c r="D51" s="1069"/>
      <c r="E51" s="978">
        <v>700.7</v>
      </c>
      <c r="F51" s="1012"/>
      <c r="G51" s="1093">
        <v>107.4</v>
      </c>
      <c r="H51" s="1096">
        <f>SUM(G51:$G$107)</f>
        <v>2895.6600000000003</v>
      </c>
      <c r="I51" s="1056">
        <v>500</v>
      </c>
      <c r="J51" s="1008">
        <f t="shared" si="2"/>
        <v>24000</v>
      </c>
      <c r="K51" s="696"/>
      <c r="L51" s="697"/>
      <c r="M51" s="686"/>
      <c r="N51" s="686"/>
      <c r="O51" s="686"/>
      <c r="P51" s="673"/>
      <c r="Q51" s="683" t="s">
        <v>38</v>
      </c>
      <c r="R51" s="683"/>
      <c r="T51" s="684">
        <f>SUM(T47:T50)</f>
        <v>20800</v>
      </c>
      <c r="V51" s="685">
        <f>SUM(V49:V50)</f>
        <v>1500</v>
      </c>
      <c r="X51" s="673"/>
      <c r="Y51" s="683" t="s">
        <v>38</v>
      </c>
      <c r="Z51" s="683"/>
      <c r="AB51" s="684">
        <f>SUM(AB47:AB50)</f>
        <v>12800</v>
      </c>
      <c r="AC51" s="684">
        <f>AC30+AC36+AC43+AC50</f>
        <v>6800</v>
      </c>
      <c r="AD51" s="685">
        <f>SUM(AD49:AD50)</f>
        <v>3600</v>
      </c>
      <c r="AF51" s="673"/>
      <c r="AG51" s="683" t="s">
        <v>38</v>
      </c>
      <c r="AH51" s="683"/>
      <c r="AJ51" s="684">
        <f>SUM(AJ47:AJ50)</f>
        <v>8800</v>
      </c>
      <c r="AK51" s="684">
        <f>SUM(AK47:AK50)</f>
        <v>3925</v>
      </c>
      <c r="AL51" s="685">
        <f>SUM(AL49:AL50)</f>
        <v>3600</v>
      </c>
      <c r="AN51" s="673"/>
      <c r="AO51" s="683" t="s">
        <v>38</v>
      </c>
      <c r="AP51" s="683"/>
      <c r="AR51" s="684">
        <f>SUM(AR47:AR50)</f>
        <v>8800</v>
      </c>
      <c r="AS51" s="684">
        <f>SUM(AS47:AS50)</f>
        <v>3925</v>
      </c>
      <c r="AT51" s="685">
        <f>SUM(AT49:AT50)</f>
        <v>3600</v>
      </c>
    </row>
    <row r="52" spans="1:47" ht="13.5" thickBot="1" x14ac:dyDescent="0.25">
      <c r="A52" s="1138">
        <v>3</v>
      </c>
      <c r="B52" s="1139">
        <v>2026</v>
      </c>
      <c r="C52" s="687">
        <v>1</v>
      </c>
      <c r="D52" s="1065"/>
      <c r="E52" s="977">
        <v>702.46</v>
      </c>
      <c r="F52" s="1011"/>
      <c r="G52" s="1094">
        <v>105.64</v>
      </c>
      <c r="H52" s="1097">
        <f>SUM(G52:$G$107)</f>
        <v>2788.2600000000007</v>
      </c>
      <c r="I52" s="1057">
        <v>500</v>
      </c>
      <c r="J52" s="1009">
        <f t="shared" si="2"/>
        <v>23500</v>
      </c>
      <c r="K52" s="690"/>
      <c r="L52" s="691"/>
      <c r="M52" s="663"/>
      <c r="N52" s="663"/>
      <c r="O52" s="663"/>
      <c r="P52" s="673"/>
      <c r="V52" s="676"/>
      <c r="X52" s="673"/>
      <c r="AD52" s="676"/>
      <c r="AF52" s="673"/>
      <c r="AL52" s="676"/>
      <c r="AN52" s="673"/>
      <c r="AT52" s="676"/>
    </row>
    <row r="53" spans="1:47" ht="13.5" thickBot="1" x14ac:dyDescent="0.25">
      <c r="A53" s="1138"/>
      <c r="B53" s="1139"/>
      <c r="C53" s="664">
        <v>2</v>
      </c>
      <c r="D53" s="1067"/>
      <c r="E53" s="975">
        <v>708.89</v>
      </c>
      <c r="F53" s="1010"/>
      <c r="G53" s="1091">
        <v>93.9</v>
      </c>
      <c r="H53" s="1095">
        <f>SUM(G53:$G$107)</f>
        <v>2682.6200000000003</v>
      </c>
      <c r="I53" s="1055">
        <v>500</v>
      </c>
      <c r="J53" s="668">
        <f t="shared" si="2"/>
        <v>23000</v>
      </c>
      <c r="K53" s="680"/>
      <c r="L53" s="681"/>
      <c r="M53" s="663"/>
      <c r="N53" s="663"/>
      <c r="O53" s="663"/>
      <c r="P53" s="673">
        <v>2028</v>
      </c>
      <c r="Q53" s="655" t="s">
        <v>300</v>
      </c>
      <c r="S53" s="675">
        <f>S46-T47-T48-T49-T50</f>
        <v>-700</v>
      </c>
      <c r="V53" s="676"/>
      <c r="X53" s="673">
        <v>2028</v>
      </c>
      <c r="Y53" s="655" t="s">
        <v>300</v>
      </c>
      <c r="AA53" s="675">
        <f>AA46-AB47-AB48-AB49-AB50</f>
        <v>7300</v>
      </c>
      <c r="AD53" s="676"/>
      <c r="AF53" s="673">
        <v>2028</v>
      </c>
      <c r="AG53" s="655" t="s">
        <v>300</v>
      </c>
      <c r="AI53" s="675">
        <f>AI46-AJ47-AJ48-AJ49-AJ50</f>
        <v>300</v>
      </c>
      <c r="AL53" s="676"/>
      <c r="AN53" s="673">
        <v>2028</v>
      </c>
      <c r="AO53" s="655" t="s">
        <v>300</v>
      </c>
      <c r="AQ53" s="675">
        <f>AQ46-AR47-AR48-AR49-AR50</f>
        <v>25300</v>
      </c>
      <c r="AT53" s="676"/>
      <c r="AU53" s="655">
        <v>25300</v>
      </c>
    </row>
    <row r="54" spans="1:47" ht="13.5" thickBot="1" x14ac:dyDescent="0.25">
      <c r="A54" s="1138"/>
      <c r="B54" s="1139"/>
      <c r="C54" s="664">
        <v>3</v>
      </c>
      <c r="D54" s="1067"/>
      <c r="E54" s="976">
        <v>710.5</v>
      </c>
      <c r="F54" s="1010"/>
      <c r="G54" s="1092">
        <v>92.29</v>
      </c>
      <c r="H54" s="1095">
        <f>SUM(G54:$G$107)</f>
        <v>2588.7199999999993</v>
      </c>
      <c r="I54" s="1055">
        <v>500</v>
      </c>
      <c r="J54" s="668">
        <f t="shared" si="2"/>
        <v>22500</v>
      </c>
      <c r="K54" s="680"/>
      <c r="L54" s="681"/>
      <c r="M54" s="663"/>
      <c r="N54" s="663"/>
      <c r="O54" s="663"/>
      <c r="P54" s="673"/>
      <c r="Q54" s="655" t="s">
        <v>299</v>
      </c>
      <c r="T54" s="675">
        <f>R30-T33-T40-T47</f>
        <v>0</v>
      </c>
      <c r="U54" s="675"/>
      <c r="V54" s="676"/>
      <c r="X54" s="673"/>
      <c r="Y54" s="655" t="s">
        <v>299</v>
      </c>
      <c r="AB54" s="675">
        <f>Z30-AB33-AB40-AB47</f>
        <v>0</v>
      </c>
      <c r="AD54" s="676"/>
      <c r="AF54" s="673"/>
      <c r="AG54" s="655" t="s">
        <v>299</v>
      </c>
      <c r="AJ54" s="675">
        <f>AH37-AJ40-AJ47</f>
        <v>0</v>
      </c>
      <c r="AK54" s="692"/>
      <c r="AL54" s="676"/>
      <c r="AN54" s="673"/>
      <c r="AO54" s="655" t="s">
        <v>299</v>
      </c>
      <c r="AR54" s="675">
        <f>AP37-AR40-AR47</f>
        <v>0</v>
      </c>
      <c r="AS54" s="692"/>
      <c r="AT54" s="676"/>
    </row>
    <row r="55" spans="1:47" ht="13.5" thickBot="1" x14ac:dyDescent="0.25">
      <c r="A55" s="1138"/>
      <c r="B55" s="1139"/>
      <c r="C55" s="664">
        <v>4</v>
      </c>
      <c r="D55" s="1067"/>
      <c r="E55" s="975">
        <v>712.11</v>
      </c>
      <c r="F55" s="1010"/>
      <c r="G55" s="1091">
        <v>90.68</v>
      </c>
      <c r="H55" s="1095">
        <f>SUM(G55:$G$107)</f>
        <v>2496.4299999999998</v>
      </c>
      <c r="I55" s="1055">
        <v>500</v>
      </c>
      <c r="J55" s="668">
        <f t="shared" si="2"/>
        <v>22000</v>
      </c>
      <c r="K55" s="680"/>
      <c r="L55" s="681"/>
      <c r="M55" s="663"/>
      <c r="N55" s="663"/>
      <c r="O55" s="663"/>
      <c r="P55" s="673"/>
      <c r="Q55" s="655" t="s">
        <v>301</v>
      </c>
      <c r="T55" s="675">
        <v>0</v>
      </c>
      <c r="U55" s="675">
        <v>4000</v>
      </c>
      <c r="V55" s="676"/>
      <c r="X55" s="673"/>
      <c r="Y55" s="655" t="s">
        <v>301</v>
      </c>
      <c r="AB55" s="675">
        <v>0</v>
      </c>
      <c r="AD55" s="676"/>
      <c r="AF55" s="673"/>
      <c r="AG55" s="655" t="s">
        <v>301</v>
      </c>
      <c r="AJ55" s="675">
        <v>0</v>
      </c>
      <c r="AK55" s="675">
        <v>2000</v>
      </c>
      <c r="AL55" s="676"/>
      <c r="AN55" s="673"/>
      <c r="AO55" s="655" t="s">
        <v>301</v>
      </c>
      <c r="AR55" s="675">
        <v>0</v>
      </c>
      <c r="AS55" s="675">
        <v>2000</v>
      </c>
      <c r="AT55" s="676"/>
    </row>
    <row r="56" spans="1:47" ht="13.5" thickBot="1" x14ac:dyDescent="0.25">
      <c r="A56" s="1138"/>
      <c r="B56" s="1139"/>
      <c r="C56" s="664">
        <v>5</v>
      </c>
      <c r="D56" s="1067"/>
      <c r="E56" s="976">
        <v>713.72</v>
      </c>
      <c r="F56" s="1076"/>
      <c r="G56" s="1092">
        <v>89.07</v>
      </c>
      <c r="H56" s="1095">
        <f>SUM(G56:$G$107)</f>
        <v>2405.7500000000005</v>
      </c>
      <c r="I56" s="1055">
        <v>500</v>
      </c>
      <c r="J56" s="668">
        <f t="shared" si="2"/>
        <v>21500</v>
      </c>
      <c r="K56" s="680"/>
      <c r="L56" s="681"/>
      <c r="M56" s="663"/>
      <c r="N56" s="663"/>
      <c r="O56" s="663"/>
      <c r="P56" s="673"/>
      <c r="Q56" s="655" t="s">
        <v>302</v>
      </c>
      <c r="T56" s="675">
        <v>0</v>
      </c>
      <c r="U56" s="675">
        <v>5950</v>
      </c>
      <c r="V56" s="682">
        <v>0</v>
      </c>
      <c r="X56" s="673"/>
      <c r="Y56" s="655" t="s">
        <v>302</v>
      </c>
      <c r="AB56" s="675">
        <v>9300</v>
      </c>
      <c r="AD56" s="682">
        <v>3600</v>
      </c>
      <c r="AF56" s="673"/>
      <c r="AG56" s="655" t="s">
        <v>302</v>
      </c>
      <c r="AJ56" s="675">
        <v>0</v>
      </c>
      <c r="AL56" s="682">
        <v>0</v>
      </c>
      <c r="AN56" s="673"/>
      <c r="AO56" s="655" t="s">
        <v>302</v>
      </c>
      <c r="AR56" s="675">
        <v>9300</v>
      </c>
      <c r="AT56" s="682">
        <v>0</v>
      </c>
    </row>
    <row r="57" spans="1:47" ht="13.5" thickBot="1" x14ac:dyDescent="0.25">
      <c r="A57" s="1138"/>
      <c r="B57" s="1139"/>
      <c r="C57" s="664">
        <v>6</v>
      </c>
      <c r="D57" s="1067"/>
      <c r="E57" s="976">
        <v>715.34</v>
      </c>
      <c r="F57" s="1076">
        <v>37910.46</v>
      </c>
      <c r="G57" s="1092">
        <v>87.45</v>
      </c>
      <c r="H57" s="1095">
        <f>SUM(G57:$G$107)</f>
        <v>2316.6800000000003</v>
      </c>
      <c r="I57" s="1055">
        <v>500</v>
      </c>
      <c r="J57" s="668">
        <f t="shared" si="2"/>
        <v>21000</v>
      </c>
      <c r="K57" s="680"/>
      <c r="L57" s="681"/>
      <c r="M57" s="663"/>
      <c r="N57" s="663"/>
      <c r="O57" s="663"/>
      <c r="P57" s="673"/>
      <c r="Q57" s="655" t="s">
        <v>303</v>
      </c>
      <c r="T57" s="675">
        <v>0</v>
      </c>
      <c r="U57" s="675">
        <f>M87</f>
        <v>5100</v>
      </c>
      <c r="V57" s="676"/>
      <c r="X57" s="673"/>
      <c r="Y57" s="655" t="s">
        <v>303</v>
      </c>
      <c r="AB57" s="675">
        <v>0</v>
      </c>
      <c r="AC57" s="675">
        <f>M87</f>
        <v>5100</v>
      </c>
      <c r="AD57" s="676"/>
      <c r="AF57" s="673"/>
      <c r="AG57" s="655" t="s">
        <v>303</v>
      </c>
      <c r="AJ57" s="675">
        <v>0</v>
      </c>
      <c r="AK57" s="675">
        <v>5100</v>
      </c>
      <c r="AL57" s="676"/>
      <c r="AN57" s="673"/>
      <c r="AO57" s="655" t="s">
        <v>303</v>
      </c>
      <c r="AR57" s="675">
        <v>0</v>
      </c>
      <c r="AS57" s="675">
        <v>5100</v>
      </c>
      <c r="AT57" s="676"/>
    </row>
    <row r="58" spans="1:47" ht="13.5" thickBot="1" x14ac:dyDescent="0.25">
      <c r="A58" s="1138"/>
      <c r="B58" s="1139"/>
      <c r="C58" s="664">
        <v>7</v>
      </c>
      <c r="D58" s="1067"/>
      <c r="E58" s="976">
        <v>716.95</v>
      </c>
      <c r="F58" s="1076">
        <f t="shared" ref="F58:F89" si="3">F57-D58-E58</f>
        <v>37193.51</v>
      </c>
      <c r="G58" s="1092">
        <v>85.84</v>
      </c>
      <c r="H58" s="1095">
        <f>SUM(G58:$G$107)</f>
        <v>2229.2299999999996</v>
      </c>
      <c r="I58" s="1055">
        <v>500</v>
      </c>
      <c r="J58" s="668">
        <f t="shared" si="2"/>
        <v>20500</v>
      </c>
      <c r="K58" s="680"/>
      <c r="L58" s="681"/>
      <c r="M58" s="663"/>
      <c r="N58" s="663"/>
      <c r="O58" s="663"/>
      <c r="P58" s="673"/>
      <c r="Q58" s="683" t="s">
        <v>38</v>
      </c>
      <c r="R58" s="683"/>
      <c r="T58" s="684">
        <f>SUM(T54:T57)</f>
        <v>0</v>
      </c>
      <c r="U58" s="684">
        <f>SUM(U54:U57)</f>
        <v>15050</v>
      </c>
      <c r="V58" s="685">
        <f>SUM(V56:V57)</f>
        <v>0</v>
      </c>
      <c r="X58" s="673"/>
      <c r="Y58" s="683" t="s">
        <v>38</v>
      </c>
      <c r="Z58" s="683"/>
      <c r="AB58" s="684">
        <f>SUM(AB54:AB57)</f>
        <v>9300</v>
      </c>
      <c r="AC58" s="684">
        <f>AC30+AC36+AC43+AC50+AC57</f>
        <v>11900</v>
      </c>
      <c r="AD58" s="685">
        <f>SUM(AD56:AD57)</f>
        <v>3600</v>
      </c>
      <c r="AF58" s="673"/>
      <c r="AG58" s="683" t="s">
        <v>38</v>
      </c>
      <c r="AH58" s="683"/>
      <c r="AJ58" s="684">
        <f>SUM(AJ54:AJ57)</f>
        <v>0</v>
      </c>
      <c r="AK58" s="684">
        <f>SUM(AK54:AK57)</f>
        <v>7100</v>
      </c>
      <c r="AL58" s="685">
        <f>SUM(AL56:AL57)</f>
        <v>0</v>
      </c>
      <c r="AN58" s="673"/>
      <c r="AO58" s="683" t="s">
        <v>38</v>
      </c>
      <c r="AP58" s="683"/>
      <c r="AR58" s="684">
        <f>SUM(AR54:AR57)</f>
        <v>9300</v>
      </c>
      <c r="AS58" s="684">
        <f>SUM(AS54:AS57)</f>
        <v>7100</v>
      </c>
      <c r="AT58" s="685">
        <f>SUM(AT56:AT57)</f>
        <v>0</v>
      </c>
    </row>
    <row r="59" spans="1:47" ht="13.5" thickBot="1" x14ac:dyDescent="0.25">
      <c r="A59" s="1138"/>
      <c r="B59" s="1139"/>
      <c r="C59" s="664">
        <v>8</v>
      </c>
      <c r="D59" s="1067"/>
      <c r="E59" s="976">
        <v>718.58</v>
      </c>
      <c r="F59" s="1076">
        <f t="shared" si="3"/>
        <v>36474.93</v>
      </c>
      <c r="G59" s="1092">
        <v>84.21</v>
      </c>
      <c r="H59" s="1095">
        <f>SUM(G59:$G$107)</f>
        <v>2143.39</v>
      </c>
      <c r="I59" s="1055">
        <v>500</v>
      </c>
      <c r="J59" s="668">
        <f t="shared" si="2"/>
        <v>20000</v>
      </c>
      <c r="K59" s="680"/>
      <c r="L59" s="681"/>
      <c r="M59" s="663"/>
      <c r="N59" s="663"/>
      <c r="O59" s="663"/>
      <c r="P59" s="673"/>
      <c r="V59" s="676"/>
      <c r="X59" s="673"/>
      <c r="AD59" s="676"/>
      <c r="AF59" s="673"/>
      <c r="AL59" s="676"/>
      <c r="AN59" s="673"/>
      <c r="AT59" s="676"/>
    </row>
    <row r="60" spans="1:47" ht="13.5" thickBot="1" x14ac:dyDescent="0.25">
      <c r="A60" s="1138"/>
      <c r="B60" s="1139"/>
      <c r="C60" s="664">
        <v>9</v>
      </c>
      <c r="D60" s="1067"/>
      <c r="E60" s="667">
        <v>720.2</v>
      </c>
      <c r="F60" s="1077">
        <f t="shared" si="3"/>
        <v>35754.730000000003</v>
      </c>
      <c r="G60" s="1098">
        <v>82.59</v>
      </c>
      <c r="H60" s="1099">
        <f>SUM(G60:$G$107)</f>
        <v>2059.1799999999994</v>
      </c>
      <c r="I60" s="1058">
        <v>500</v>
      </c>
      <c r="J60" s="679">
        <f t="shared" si="2"/>
        <v>19500</v>
      </c>
      <c r="K60" s="680">
        <v>250</v>
      </c>
      <c r="L60" s="681">
        <v>175</v>
      </c>
      <c r="M60" s="663"/>
      <c r="N60" s="663"/>
      <c r="O60" s="663"/>
      <c r="P60" s="673">
        <v>2029</v>
      </c>
      <c r="Q60" s="655" t="s">
        <v>300</v>
      </c>
      <c r="S60" s="675">
        <f>S53-T54-T55-T56-T57</f>
        <v>-700</v>
      </c>
      <c r="V60" s="676"/>
      <c r="X60" s="673">
        <v>2029</v>
      </c>
      <c r="Y60" s="655" t="s">
        <v>300</v>
      </c>
      <c r="AA60" s="675">
        <f>AA53-AB54-AB55-AB56-AB57</f>
        <v>-2000</v>
      </c>
      <c r="AD60" s="676"/>
      <c r="AF60" s="673">
        <v>2029</v>
      </c>
      <c r="AG60" s="655" t="s">
        <v>300</v>
      </c>
      <c r="AI60" s="675">
        <f>AI53-AJ54-AJ55-AJ56-AJ57</f>
        <v>300</v>
      </c>
      <c r="AL60" s="676"/>
      <c r="AN60" s="673">
        <v>2029</v>
      </c>
      <c r="AO60" s="655" t="s">
        <v>300</v>
      </c>
      <c r="AQ60" s="675">
        <f>AQ53-AR54-AR55-AR56-AR57</f>
        <v>16000</v>
      </c>
      <c r="AT60" s="676"/>
      <c r="AU60" s="655">
        <v>16000</v>
      </c>
    </row>
    <row r="61" spans="1:47" ht="13.5" thickBot="1" x14ac:dyDescent="0.25">
      <c r="A61" s="1138"/>
      <c r="B61" s="1139"/>
      <c r="C61" s="664">
        <v>10</v>
      </c>
      <c r="D61" s="1067"/>
      <c r="E61" s="665">
        <v>721.84</v>
      </c>
      <c r="F61" s="1077">
        <f t="shared" si="3"/>
        <v>35032.890000000007</v>
      </c>
      <c r="G61" s="1100">
        <v>80.95</v>
      </c>
      <c r="H61" s="1099">
        <f>SUM(G61:$G$107)</f>
        <v>1976.59</v>
      </c>
      <c r="I61" s="1058">
        <v>500</v>
      </c>
      <c r="J61" s="679">
        <f t="shared" ref="J61:J92" si="4">J60-I61</f>
        <v>19000</v>
      </c>
      <c r="K61" s="680">
        <v>250</v>
      </c>
      <c r="L61" s="681">
        <v>175</v>
      </c>
      <c r="M61" s="663"/>
      <c r="N61" s="663"/>
      <c r="O61" s="663"/>
      <c r="P61" s="673"/>
      <c r="Q61" s="655" t="s">
        <v>299</v>
      </c>
      <c r="T61" s="675">
        <f>R30-T33-T40-T47-T54</f>
        <v>0</v>
      </c>
      <c r="V61" s="676"/>
      <c r="X61" s="673"/>
      <c r="Y61" s="655" t="s">
        <v>299</v>
      </c>
      <c r="AB61" s="675">
        <f>Z30-AB33-AB40-AB47-AB54</f>
        <v>0</v>
      </c>
      <c r="AD61" s="676"/>
      <c r="AF61" s="673"/>
      <c r="AG61" s="655" t="s">
        <v>299</v>
      </c>
      <c r="AJ61" s="675">
        <f>AH30-AJ33-AJ40-AJ47-AJ54</f>
        <v>0</v>
      </c>
      <c r="AL61" s="676"/>
      <c r="AN61" s="673"/>
      <c r="AO61" s="655" t="s">
        <v>299</v>
      </c>
      <c r="AR61" s="675">
        <v>0</v>
      </c>
      <c r="AT61" s="676"/>
    </row>
    <row r="62" spans="1:47" ht="13.5" thickBot="1" x14ac:dyDescent="0.25">
      <c r="A62" s="1138"/>
      <c r="B62" s="1139"/>
      <c r="C62" s="664">
        <v>11</v>
      </c>
      <c r="D62" s="1067"/>
      <c r="E62" s="667">
        <v>723.47</v>
      </c>
      <c r="F62" s="1077">
        <f t="shared" si="3"/>
        <v>34309.420000000006</v>
      </c>
      <c r="G62" s="1098">
        <v>79.319999999999993</v>
      </c>
      <c r="H62" s="1099">
        <f>SUM(G62:$G$107)</f>
        <v>1895.6399999999999</v>
      </c>
      <c r="I62" s="1058">
        <v>500</v>
      </c>
      <c r="J62" s="679">
        <f t="shared" si="4"/>
        <v>18500</v>
      </c>
      <c r="K62" s="680">
        <v>250</v>
      </c>
      <c r="L62" s="681">
        <v>175</v>
      </c>
      <c r="M62" s="663"/>
      <c r="N62" s="663"/>
      <c r="O62" s="663"/>
      <c r="P62" s="673"/>
      <c r="Q62" s="655" t="s">
        <v>301</v>
      </c>
      <c r="T62" s="675">
        <v>0</v>
      </c>
      <c r="V62" s="676"/>
      <c r="X62" s="673"/>
      <c r="Y62" s="655" t="s">
        <v>301</v>
      </c>
      <c r="AB62" s="675">
        <v>0</v>
      </c>
      <c r="AD62" s="676"/>
      <c r="AF62" s="673"/>
      <c r="AG62" s="655" t="s">
        <v>301</v>
      </c>
      <c r="AJ62" s="675">
        <v>0</v>
      </c>
      <c r="AL62" s="676"/>
      <c r="AN62" s="673"/>
      <c r="AO62" s="655" t="s">
        <v>301</v>
      </c>
      <c r="AR62" s="675">
        <v>0</v>
      </c>
      <c r="AT62" s="676"/>
    </row>
    <row r="63" spans="1:47" ht="13.5" thickBot="1" x14ac:dyDescent="0.25">
      <c r="A63" s="1138"/>
      <c r="B63" s="1139"/>
      <c r="C63" s="693">
        <v>12</v>
      </c>
      <c r="D63" s="1069"/>
      <c r="E63" s="694">
        <v>725.11</v>
      </c>
      <c r="F63" s="1079">
        <f t="shared" si="3"/>
        <v>33584.310000000005</v>
      </c>
      <c r="G63" s="1101">
        <v>77.680000000000007</v>
      </c>
      <c r="H63" s="1102">
        <f>SUM(G63:$G$107)</f>
        <v>1816.32</v>
      </c>
      <c r="I63" s="1060">
        <v>500</v>
      </c>
      <c r="J63" s="695">
        <f t="shared" si="4"/>
        <v>18000</v>
      </c>
      <c r="K63" s="696">
        <v>250</v>
      </c>
      <c r="L63" s="697">
        <v>175</v>
      </c>
      <c r="M63" s="686">
        <f>SUM(K52:L63)</f>
        <v>1700</v>
      </c>
      <c r="N63" s="698">
        <f>SUM(M28:M63)</f>
        <v>1700</v>
      </c>
      <c r="O63" s="686"/>
      <c r="P63" s="673"/>
      <c r="Q63" s="655" t="s">
        <v>302</v>
      </c>
      <c r="T63" s="675">
        <v>0</v>
      </c>
      <c r="V63" s="682">
        <v>1200</v>
      </c>
      <c r="X63" s="673"/>
      <c r="Y63" s="655" t="s">
        <v>302</v>
      </c>
      <c r="AB63" s="675">
        <v>2000</v>
      </c>
      <c r="AD63" s="682">
        <v>1200</v>
      </c>
      <c r="AF63" s="673"/>
      <c r="AG63" s="655" t="s">
        <v>302</v>
      </c>
      <c r="AJ63" s="675">
        <v>0</v>
      </c>
      <c r="AL63" s="682">
        <v>1200</v>
      </c>
      <c r="AN63" s="673"/>
      <c r="AO63" s="655" t="s">
        <v>302</v>
      </c>
      <c r="AR63" s="675">
        <v>9600</v>
      </c>
      <c r="AT63" s="682">
        <v>1200</v>
      </c>
    </row>
    <row r="64" spans="1:47" ht="13.5" thickBot="1" x14ac:dyDescent="0.25">
      <c r="A64" s="1138">
        <v>4</v>
      </c>
      <c r="B64" s="1139">
        <v>2027</v>
      </c>
      <c r="C64" s="687">
        <v>1</v>
      </c>
      <c r="D64" s="1065"/>
      <c r="E64" s="688">
        <v>726.75</v>
      </c>
      <c r="F64" s="1078">
        <f t="shared" si="3"/>
        <v>32857.560000000005</v>
      </c>
      <c r="G64" s="1103">
        <v>76.040000000000006</v>
      </c>
      <c r="H64" s="1104">
        <f>SUM(G64:$G$107)</f>
        <v>1738.6399999999999</v>
      </c>
      <c r="I64" s="1059">
        <v>500</v>
      </c>
      <c r="J64" s="689">
        <f t="shared" si="4"/>
        <v>17500</v>
      </c>
      <c r="K64" s="690">
        <v>250</v>
      </c>
      <c r="L64" s="691">
        <v>175</v>
      </c>
      <c r="M64" s="663"/>
      <c r="N64" s="663"/>
      <c r="O64" s="663"/>
      <c r="P64" s="673"/>
      <c r="Q64" s="655" t="s">
        <v>303</v>
      </c>
      <c r="T64" s="675">
        <v>0</v>
      </c>
      <c r="V64" s="676"/>
      <c r="X64" s="673"/>
      <c r="Y64" s="655" t="s">
        <v>303</v>
      </c>
      <c r="AB64" s="675">
        <v>0</v>
      </c>
      <c r="AC64" s="675">
        <f>M98</f>
        <v>4675</v>
      </c>
      <c r="AD64" s="676"/>
      <c r="AF64" s="673"/>
      <c r="AG64" s="655" t="s">
        <v>303</v>
      </c>
      <c r="AJ64" s="675">
        <v>0</v>
      </c>
      <c r="AK64" s="675">
        <v>5100</v>
      </c>
      <c r="AL64" s="676"/>
      <c r="AN64" s="673"/>
      <c r="AO64" s="655" t="s">
        <v>303</v>
      </c>
      <c r="AR64" s="675">
        <v>0</v>
      </c>
      <c r="AS64" s="675">
        <v>5100</v>
      </c>
      <c r="AT64" s="676"/>
    </row>
    <row r="65" spans="1:47" ht="13.5" thickBot="1" x14ac:dyDescent="0.25">
      <c r="A65" s="1138"/>
      <c r="B65" s="1139"/>
      <c r="C65" s="664">
        <v>2</v>
      </c>
      <c r="D65" s="1067"/>
      <c r="E65" s="665">
        <v>728.39</v>
      </c>
      <c r="F65" s="1077">
        <f t="shared" si="3"/>
        <v>32129.170000000006</v>
      </c>
      <c r="G65" s="1100">
        <v>74.400000000000006</v>
      </c>
      <c r="H65" s="1099">
        <f>SUM(G65:$G$107)</f>
        <v>1662.6000000000001</v>
      </c>
      <c r="I65" s="1058">
        <v>500</v>
      </c>
      <c r="J65" s="679">
        <f t="shared" si="4"/>
        <v>17000</v>
      </c>
      <c r="K65" s="680">
        <v>250</v>
      </c>
      <c r="L65" s="681">
        <v>175</v>
      </c>
      <c r="M65" s="663"/>
      <c r="N65" s="663"/>
      <c r="O65" s="663"/>
      <c r="P65" s="699"/>
      <c r="Q65" s="700" t="s">
        <v>38</v>
      </c>
      <c r="R65" s="700"/>
      <c r="S65" s="701"/>
      <c r="T65" s="702">
        <f>SUM(T61:T64)</f>
        <v>0</v>
      </c>
      <c r="U65" s="701"/>
      <c r="V65" s="703">
        <f>SUM(V63:V64)</f>
        <v>1200</v>
      </c>
      <c r="X65" s="699"/>
      <c r="Y65" s="700" t="s">
        <v>38</v>
      </c>
      <c r="Z65" s="700"/>
      <c r="AA65" s="701"/>
      <c r="AB65" s="702">
        <f>SUM(AB61:AB64)</f>
        <v>2000</v>
      </c>
      <c r="AC65" s="702">
        <f>AC30+AC36+AC43+AC50+AC57+AC64</f>
        <v>16575</v>
      </c>
      <c r="AD65" s="703">
        <f>SUM(AD63:AD64)</f>
        <v>1200</v>
      </c>
      <c r="AF65" s="699"/>
      <c r="AG65" s="700" t="s">
        <v>38</v>
      </c>
      <c r="AH65" s="700"/>
      <c r="AI65" s="701"/>
      <c r="AJ65" s="702">
        <f>SUM(AJ61:AJ64)</f>
        <v>0</v>
      </c>
      <c r="AK65" s="702">
        <f>AK30+AK37+AK44+AK51+AK58+AK64</f>
        <v>16125</v>
      </c>
      <c r="AL65" s="703">
        <f>SUM(AL63:AL64)</f>
        <v>1200</v>
      </c>
      <c r="AN65" s="673"/>
      <c r="AO65" s="683" t="s">
        <v>38</v>
      </c>
      <c r="AP65" s="683"/>
      <c r="AR65" s="684">
        <f>SUM(AR61:AR64)</f>
        <v>9600</v>
      </c>
      <c r="AS65" s="684">
        <f>SUM(AS61:AS64)</f>
        <v>5100</v>
      </c>
      <c r="AT65" s="685">
        <f>SUM(AT63:AT64)</f>
        <v>1200</v>
      </c>
    </row>
    <row r="66" spans="1:47" ht="13.5" thickBot="1" x14ac:dyDescent="0.25">
      <c r="A66" s="1138"/>
      <c r="B66" s="1139"/>
      <c r="C66" s="664">
        <v>3</v>
      </c>
      <c r="D66" s="1067"/>
      <c r="E66" s="667">
        <v>730.04</v>
      </c>
      <c r="F66" s="1077">
        <f t="shared" si="3"/>
        <v>31399.130000000005</v>
      </c>
      <c r="G66" s="1098">
        <v>72.75</v>
      </c>
      <c r="H66" s="1099">
        <f>SUM(G66:$G$107)</f>
        <v>1588.2</v>
      </c>
      <c r="I66" s="1058">
        <v>500</v>
      </c>
      <c r="J66" s="679">
        <f t="shared" si="4"/>
        <v>16500</v>
      </c>
      <c r="K66" s="680">
        <v>250</v>
      </c>
      <c r="L66" s="681">
        <v>175</v>
      </c>
      <c r="M66" s="663"/>
      <c r="N66" s="704"/>
      <c r="O66" s="663"/>
      <c r="AN66" s="673"/>
      <c r="AT66" s="676"/>
    </row>
    <row r="67" spans="1:47" ht="13.5" thickBot="1" x14ac:dyDescent="0.25">
      <c r="A67" s="1138"/>
      <c r="B67" s="1139"/>
      <c r="C67" s="664">
        <v>4</v>
      </c>
      <c r="D67" s="1067"/>
      <c r="E67" s="665">
        <v>731.7</v>
      </c>
      <c r="F67" s="1077">
        <f t="shared" si="3"/>
        <v>30667.430000000004</v>
      </c>
      <c r="G67" s="1100">
        <v>71.09</v>
      </c>
      <c r="H67" s="1099">
        <f>SUM(G67:$G$107)</f>
        <v>1515.4499999999998</v>
      </c>
      <c r="I67" s="1058">
        <v>500</v>
      </c>
      <c r="J67" s="679">
        <f t="shared" si="4"/>
        <v>16000</v>
      </c>
      <c r="K67" s="680">
        <v>250</v>
      </c>
      <c r="L67" s="681">
        <v>175</v>
      </c>
      <c r="M67" s="663"/>
      <c r="N67" s="663"/>
      <c r="O67" s="663"/>
      <c r="AN67" s="673">
        <v>2030</v>
      </c>
      <c r="AO67" s="655" t="s">
        <v>300</v>
      </c>
      <c r="AQ67" s="675">
        <f>AQ60-AR61-AR62-AR63-AR64</f>
        <v>6400</v>
      </c>
      <c r="AT67" s="676"/>
      <c r="AU67" s="655">
        <v>6400</v>
      </c>
    </row>
    <row r="68" spans="1:47" ht="13.5" thickBot="1" x14ac:dyDescent="0.25">
      <c r="A68" s="1138"/>
      <c r="B68" s="1139"/>
      <c r="C68" s="664">
        <v>5</v>
      </c>
      <c r="D68" s="1067"/>
      <c r="E68" s="667">
        <v>733.35</v>
      </c>
      <c r="F68" s="1077">
        <f t="shared" si="3"/>
        <v>29934.080000000005</v>
      </c>
      <c r="G68" s="1098">
        <v>69.44</v>
      </c>
      <c r="H68" s="1099">
        <f>SUM(G68:$G$107)</f>
        <v>1444.36</v>
      </c>
      <c r="I68" s="1058">
        <v>500</v>
      </c>
      <c r="J68" s="679">
        <f t="shared" si="4"/>
        <v>15500</v>
      </c>
      <c r="K68" s="680">
        <v>250</v>
      </c>
      <c r="L68" s="681">
        <v>175</v>
      </c>
      <c r="AN68" s="673"/>
      <c r="AO68" s="655" t="s">
        <v>299</v>
      </c>
      <c r="AR68" s="675">
        <v>0</v>
      </c>
      <c r="AT68" s="676"/>
    </row>
    <row r="69" spans="1:47" ht="13.5" thickBot="1" x14ac:dyDescent="0.25">
      <c r="A69" s="1138"/>
      <c r="B69" s="1139"/>
      <c r="C69" s="664">
        <v>6</v>
      </c>
      <c r="D69" s="1067"/>
      <c r="E69" s="665">
        <v>735.01</v>
      </c>
      <c r="F69" s="1077">
        <f t="shared" si="3"/>
        <v>29199.070000000007</v>
      </c>
      <c r="G69" s="1100">
        <v>67.78</v>
      </c>
      <c r="H69" s="1099">
        <f>SUM(G69:$G$107)</f>
        <v>1374.9199999999998</v>
      </c>
      <c r="I69" s="1058">
        <v>500</v>
      </c>
      <c r="J69" s="679">
        <f t="shared" si="4"/>
        <v>15000</v>
      </c>
      <c r="K69" s="680">
        <v>250</v>
      </c>
      <c r="L69" s="681">
        <v>175</v>
      </c>
      <c r="AN69" s="673"/>
      <c r="AO69" s="655" t="s">
        <v>301</v>
      </c>
      <c r="AR69" s="675">
        <v>0</v>
      </c>
      <c r="AT69" s="676"/>
    </row>
    <row r="70" spans="1:47" ht="13.5" thickBot="1" x14ac:dyDescent="0.25">
      <c r="A70" s="1138"/>
      <c r="B70" s="1139"/>
      <c r="C70" s="664">
        <v>7</v>
      </c>
      <c r="D70" s="1067"/>
      <c r="E70" s="667">
        <v>736.68</v>
      </c>
      <c r="F70" s="1077">
        <f t="shared" si="3"/>
        <v>28462.390000000007</v>
      </c>
      <c r="G70" s="1098">
        <v>66.11</v>
      </c>
      <c r="H70" s="1099">
        <f>SUM(G70:$G$107)</f>
        <v>1307.1399999999999</v>
      </c>
      <c r="I70" s="1058">
        <v>500</v>
      </c>
      <c r="J70" s="679">
        <f t="shared" si="4"/>
        <v>14500</v>
      </c>
      <c r="K70" s="680">
        <v>250</v>
      </c>
      <c r="L70" s="681">
        <v>175</v>
      </c>
      <c r="AN70" s="673"/>
      <c r="AO70" s="655" t="s">
        <v>302</v>
      </c>
      <c r="AR70" s="675">
        <v>6400</v>
      </c>
      <c r="AT70" s="682">
        <v>1200</v>
      </c>
    </row>
    <row r="71" spans="1:47" ht="13.5" thickBot="1" x14ac:dyDescent="0.25">
      <c r="A71" s="1138"/>
      <c r="B71" s="1139"/>
      <c r="C71" s="664">
        <v>8</v>
      </c>
      <c r="D71" s="1067"/>
      <c r="E71" s="665">
        <v>738.35</v>
      </c>
      <c r="F71" s="1077">
        <f t="shared" si="3"/>
        <v>27724.040000000008</v>
      </c>
      <c r="G71" s="1100">
        <v>64.44</v>
      </c>
      <c r="H71" s="1099">
        <f>SUM(G71:$G$107)</f>
        <v>1241.03</v>
      </c>
      <c r="I71" s="1058">
        <v>500</v>
      </c>
      <c r="J71" s="679">
        <f t="shared" si="4"/>
        <v>14000</v>
      </c>
      <c r="K71" s="680">
        <v>250</v>
      </c>
      <c r="L71" s="681">
        <v>175</v>
      </c>
      <c r="M71" s="686"/>
      <c r="AN71" s="673"/>
      <c r="AO71" s="655" t="s">
        <v>303</v>
      </c>
      <c r="AR71" s="675">
        <v>0</v>
      </c>
      <c r="AS71" s="675">
        <v>5100</v>
      </c>
      <c r="AT71" s="676"/>
    </row>
    <row r="72" spans="1:47" ht="13.5" thickBot="1" x14ac:dyDescent="0.25">
      <c r="A72" s="1138"/>
      <c r="B72" s="1139"/>
      <c r="C72" s="664">
        <v>9</v>
      </c>
      <c r="D72" s="1067"/>
      <c r="E72" s="667">
        <v>740.02</v>
      </c>
      <c r="F72" s="1077">
        <f t="shared" si="3"/>
        <v>26984.020000000008</v>
      </c>
      <c r="G72" s="1098">
        <v>62.77</v>
      </c>
      <c r="H72" s="1099">
        <f>SUM(G72:$G$107)</f>
        <v>1176.5899999999999</v>
      </c>
      <c r="I72" s="1058">
        <v>500</v>
      </c>
      <c r="J72" s="679">
        <f t="shared" si="4"/>
        <v>13500</v>
      </c>
      <c r="K72" s="680">
        <v>250</v>
      </c>
      <c r="L72" s="681">
        <v>175</v>
      </c>
      <c r="AN72" s="699"/>
      <c r="AO72" s="700" t="s">
        <v>38</v>
      </c>
      <c r="AP72" s="700"/>
      <c r="AQ72" s="701"/>
      <c r="AR72" s="702">
        <f>SUM(AR68:AR71)</f>
        <v>6400</v>
      </c>
      <c r="AS72" s="702">
        <f>AS37+AS44+AS51+AS58+AS65+AS71</f>
        <v>21225</v>
      </c>
      <c r="AT72" s="703">
        <f>SUM(AT70:AT71)</f>
        <v>1200</v>
      </c>
    </row>
    <row r="73" spans="1:47" ht="13.5" thickBot="1" x14ac:dyDescent="0.25">
      <c r="A73" s="1138"/>
      <c r="B73" s="1139"/>
      <c r="C73" s="664">
        <v>10</v>
      </c>
      <c r="D73" s="1067"/>
      <c r="E73" s="665">
        <v>741.69</v>
      </c>
      <c r="F73" s="1077">
        <f t="shared" si="3"/>
        <v>26242.330000000009</v>
      </c>
      <c r="G73" s="1100">
        <v>61.1</v>
      </c>
      <c r="H73" s="1099">
        <f>SUM(G73:$G$107)</f>
        <v>1113.82</v>
      </c>
      <c r="I73" s="1058">
        <v>500</v>
      </c>
      <c r="J73" s="679">
        <f t="shared" si="4"/>
        <v>13000</v>
      </c>
      <c r="K73" s="680">
        <v>250</v>
      </c>
      <c r="L73" s="681">
        <v>175</v>
      </c>
      <c r="M73" s="686"/>
      <c r="P73" s="674" t="s">
        <v>304</v>
      </c>
      <c r="X73" s="674" t="s">
        <v>305</v>
      </c>
    </row>
    <row r="74" spans="1:47" ht="13.5" thickBot="1" x14ac:dyDescent="0.25">
      <c r="A74" s="1138"/>
      <c r="B74" s="1139"/>
      <c r="C74" s="664">
        <v>11</v>
      </c>
      <c r="D74" s="1067"/>
      <c r="E74" s="667">
        <v>743.37</v>
      </c>
      <c r="F74" s="1077">
        <f t="shared" si="3"/>
        <v>25498.96000000001</v>
      </c>
      <c r="G74" s="1098">
        <v>59.42</v>
      </c>
      <c r="H74" s="1099">
        <f>SUM(G74:$G$107)</f>
        <v>1052.7199999999998</v>
      </c>
      <c r="I74" s="1058">
        <v>500</v>
      </c>
      <c r="J74" s="679">
        <f t="shared" si="4"/>
        <v>12500</v>
      </c>
      <c r="K74" s="680">
        <v>250</v>
      </c>
      <c r="L74" s="681">
        <v>175</v>
      </c>
      <c r="P74" s="674" t="s">
        <v>306</v>
      </c>
      <c r="X74" s="674" t="s">
        <v>307</v>
      </c>
    </row>
    <row r="75" spans="1:47" ht="13.5" thickBot="1" x14ac:dyDescent="0.25">
      <c r="A75" s="1138"/>
      <c r="B75" s="1139"/>
      <c r="C75" s="693">
        <v>12</v>
      </c>
      <c r="D75" s="1069"/>
      <c r="E75" s="694">
        <v>745.06</v>
      </c>
      <c r="F75" s="1079">
        <f t="shared" si="3"/>
        <v>24753.900000000009</v>
      </c>
      <c r="G75" s="1101">
        <v>57.73</v>
      </c>
      <c r="H75" s="1102">
        <f>SUM(G75:$G$107)</f>
        <v>993.29999999999973</v>
      </c>
      <c r="I75" s="1060">
        <v>500</v>
      </c>
      <c r="J75" s="695">
        <f t="shared" si="4"/>
        <v>12000</v>
      </c>
      <c r="K75" s="696">
        <v>250</v>
      </c>
      <c r="L75" s="697">
        <v>175</v>
      </c>
      <c r="M75" s="686">
        <f>SUM(K64:L75)</f>
        <v>5100</v>
      </c>
      <c r="N75" s="698">
        <f>SUM(M28:M75)</f>
        <v>6800</v>
      </c>
      <c r="O75" s="705" t="s">
        <v>294</v>
      </c>
      <c r="P75" s="674" t="s">
        <v>308</v>
      </c>
    </row>
    <row r="76" spans="1:47" ht="13.5" thickBot="1" x14ac:dyDescent="0.25">
      <c r="A76" s="1138">
        <v>5</v>
      </c>
      <c r="B76" s="1139">
        <v>2028</v>
      </c>
      <c r="C76" s="687">
        <v>1</v>
      </c>
      <c r="D76" s="1065"/>
      <c r="E76" s="688">
        <v>746.74</v>
      </c>
      <c r="F76" s="1078">
        <f t="shared" si="3"/>
        <v>24007.160000000007</v>
      </c>
      <c r="G76" s="1103">
        <v>56.05</v>
      </c>
      <c r="H76" s="1104">
        <f>SUM(G76:$G$107)</f>
        <v>935.56999999999982</v>
      </c>
      <c r="I76" s="1059">
        <v>500</v>
      </c>
      <c r="J76" s="706">
        <f t="shared" si="4"/>
        <v>11500</v>
      </c>
      <c r="K76" s="690">
        <v>250</v>
      </c>
      <c r="L76" s="691">
        <v>175</v>
      </c>
      <c r="P76" s="674" t="s">
        <v>309</v>
      </c>
    </row>
    <row r="77" spans="1:47" ht="13.5" thickBot="1" x14ac:dyDescent="0.25">
      <c r="A77" s="1138"/>
      <c r="B77" s="1139"/>
      <c r="C77" s="664">
        <v>2</v>
      </c>
      <c r="D77" s="1067"/>
      <c r="E77" s="665">
        <v>748.43</v>
      </c>
      <c r="F77" s="1077">
        <f t="shared" si="3"/>
        <v>23258.730000000007</v>
      </c>
      <c r="G77" s="1100">
        <v>54.36</v>
      </c>
      <c r="H77" s="1099">
        <f>SUM(G77:$G$107)</f>
        <v>879.51999999999975</v>
      </c>
      <c r="I77" s="1058">
        <v>500</v>
      </c>
      <c r="J77" s="707">
        <f t="shared" si="4"/>
        <v>11000</v>
      </c>
      <c r="K77" s="680">
        <v>250</v>
      </c>
      <c r="L77" s="681">
        <v>175</v>
      </c>
      <c r="P77" s="674" t="s">
        <v>310</v>
      </c>
    </row>
    <row r="78" spans="1:47" ht="13.5" thickBot="1" x14ac:dyDescent="0.25">
      <c r="A78" s="1138"/>
      <c r="B78" s="1139"/>
      <c r="C78" s="664">
        <v>3</v>
      </c>
      <c r="D78" s="1067"/>
      <c r="E78" s="667">
        <v>750.13</v>
      </c>
      <c r="F78" s="1077">
        <f t="shared" si="3"/>
        <v>22508.600000000006</v>
      </c>
      <c r="G78" s="1098">
        <v>52.66</v>
      </c>
      <c r="H78" s="1099">
        <f>SUM(G78:$G$107)</f>
        <v>825.15999999999985</v>
      </c>
      <c r="I78" s="1058">
        <v>500</v>
      </c>
      <c r="J78" s="707">
        <f t="shared" si="4"/>
        <v>10500</v>
      </c>
      <c r="K78" s="680">
        <v>250</v>
      </c>
      <c r="L78" s="681">
        <v>175</v>
      </c>
      <c r="X78" s="674" t="s">
        <v>311</v>
      </c>
    </row>
    <row r="79" spans="1:47" ht="13.5" thickBot="1" x14ac:dyDescent="0.25">
      <c r="A79" s="1138"/>
      <c r="B79" s="1139"/>
      <c r="C79" s="664">
        <v>4</v>
      </c>
      <c r="D79" s="1067"/>
      <c r="E79" s="665">
        <v>751.83</v>
      </c>
      <c r="F79" s="1077">
        <f t="shared" si="3"/>
        <v>21756.770000000004</v>
      </c>
      <c r="G79" s="1100">
        <v>50.96</v>
      </c>
      <c r="H79" s="1099">
        <f>SUM(G79:$G$107)</f>
        <v>772.49999999999977</v>
      </c>
      <c r="I79" s="1058">
        <v>500</v>
      </c>
      <c r="J79" s="707">
        <f t="shared" si="4"/>
        <v>10000</v>
      </c>
      <c r="K79" s="680">
        <v>250</v>
      </c>
      <c r="L79" s="681">
        <v>175</v>
      </c>
    </row>
    <row r="80" spans="1:47" ht="13.5" thickBot="1" x14ac:dyDescent="0.25">
      <c r="A80" s="1138"/>
      <c r="B80" s="1139"/>
      <c r="C80" s="664">
        <v>5</v>
      </c>
      <c r="D80" s="1067"/>
      <c r="E80" s="667">
        <v>753.53</v>
      </c>
      <c r="F80" s="1077">
        <f t="shared" si="3"/>
        <v>21003.240000000005</v>
      </c>
      <c r="G80" s="1098">
        <v>49.26</v>
      </c>
      <c r="H80" s="1099">
        <f>SUM(G80:$G$107)</f>
        <v>721.53999999999985</v>
      </c>
      <c r="I80" s="1058">
        <v>500</v>
      </c>
      <c r="J80" s="707">
        <f t="shared" si="4"/>
        <v>9500</v>
      </c>
      <c r="K80" s="680">
        <v>250</v>
      </c>
      <c r="L80" s="681">
        <v>175</v>
      </c>
      <c r="P80" s="655" t="s">
        <v>312</v>
      </c>
    </row>
    <row r="81" spans="1:26" ht="13.5" thickBot="1" x14ac:dyDescent="0.25">
      <c r="A81" s="1138"/>
      <c r="B81" s="1139"/>
      <c r="C81" s="664">
        <v>6</v>
      </c>
      <c r="D81" s="1067"/>
      <c r="E81" s="665">
        <v>755.24</v>
      </c>
      <c r="F81" s="1077">
        <f t="shared" si="3"/>
        <v>20248.000000000004</v>
      </c>
      <c r="G81" s="1100">
        <v>47.55</v>
      </c>
      <c r="H81" s="1099">
        <f>SUM(G81:$G$107)</f>
        <v>672.27999999999986</v>
      </c>
      <c r="I81" s="1058">
        <v>500</v>
      </c>
      <c r="J81" s="707">
        <f t="shared" si="4"/>
        <v>9000</v>
      </c>
      <c r="K81" s="680">
        <v>250</v>
      </c>
      <c r="L81" s="681">
        <v>175</v>
      </c>
      <c r="P81" s="655" t="s">
        <v>313</v>
      </c>
    </row>
    <row r="82" spans="1:26" ht="13.5" thickBot="1" x14ac:dyDescent="0.25">
      <c r="A82" s="1138"/>
      <c r="B82" s="1139"/>
      <c r="C82" s="664">
        <v>7</v>
      </c>
      <c r="D82" s="1067"/>
      <c r="E82" s="667">
        <v>756.95</v>
      </c>
      <c r="F82" s="1077">
        <f t="shared" si="3"/>
        <v>19491.050000000003</v>
      </c>
      <c r="G82" s="1098">
        <v>45.84</v>
      </c>
      <c r="H82" s="1099">
        <f>SUM(G82:$G$107)</f>
        <v>624.72999999999979</v>
      </c>
      <c r="I82" s="1058">
        <v>500</v>
      </c>
      <c r="J82" s="707">
        <f t="shared" si="4"/>
        <v>8500</v>
      </c>
      <c r="K82" s="680">
        <v>250</v>
      </c>
      <c r="L82" s="681">
        <v>175</v>
      </c>
      <c r="P82" s="655" t="s">
        <v>314</v>
      </c>
    </row>
    <row r="83" spans="1:26" ht="13.5" thickBot="1" x14ac:dyDescent="0.25">
      <c r="A83" s="1138"/>
      <c r="B83" s="1139"/>
      <c r="C83" s="664">
        <v>8</v>
      </c>
      <c r="D83" s="1067"/>
      <c r="E83" s="665">
        <v>758.66</v>
      </c>
      <c r="F83" s="1077">
        <f t="shared" si="3"/>
        <v>18732.390000000003</v>
      </c>
      <c r="G83" s="1100">
        <v>44.13</v>
      </c>
      <c r="H83" s="1099">
        <f>SUM(G83:$G$107)</f>
        <v>578.88999999999987</v>
      </c>
      <c r="I83" s="1058">
        <v>500</v>
      </c>
      <c r="J83" s="707">
        <f t="shared" si="4"/>
        <v>8000</v>
      </c>
      <c r="K83" s="680">
        <v>250</v>
      </c>
      <c r="L83" s="681">
        <v>175</v>
      </c>
    </row>
    <row r="84" spans="1:26" ht="13.5" thickBot="1" x14ac:dyDescent="0.25">
      <c r="A84" s="1138"/>
      <c r="B84" s="1139"/>
      <c r="C84" s="664">
        <v>9</v>
      </c>
      <c r="D84" s="1067"/>
      <c r="E84" s="667">
        <v>760.38</v>
      </c>
      <c r="F84" s="1077">
        <f t="shared" si="3"/>
        <v>17972.010000000002</v>
      </c>
      <c r="G84" s="1098">
        <v>42.41</v>
      </c>
      <c r="H84" s="1099">
        <f>SUM(G84:$G$107)</f>
        <v>534.75999999999988</v>
      </c>
      <c r="I84" s="1058">
        <v>500</v>
      </c>
      <c r="J84" s="707">
        <f t="shared" si="4"/>
        <v>7500</v>
      </c>
      <c r="K84" s="680">
        <v>250</v>
      </c>
      <c r="L84" s="681">
        <v>175</v>
      </c>
    </row>
    <row r="85" spans="1:26" ht="13.5" thickBot="1" x14ac:dyDescent="0.25">
      <c r="A85" s="1138"/>
      <c r="B85" s="1139"/>
      <c r="C85" s="664">
        <v>10</v>
      </c>
      <c r="D85" s="1067"/>
      <c r="E85" s="665">
        <v>762.1</v>
      </c>
      <c r="F85" s="1077">
        <f t="shared" si="3"/>
        <v>17209.910000000003</v>
      </c>
      <c r="G85" s="1100">
        <v>40.69</v>
      </c>
      <c r="H85" s="1099">
        <f>SUM(G85:$G$107)</f>
        <v>492.34999999999997</v>
      </c>
      <c r="I85" s="1058">
        <v>500</v>
      </c>
      <c r="J85" s="707">
        <f t="shared" si="4"/>
        <v>7000</v>
      </c>
      <c r="K85" s="680">
        <v>250</v>
      </c>
      <c r="L85" s="681">
        <v>175</v>
      </c>
    </row>
    <row r="86" spans="1:26" ht="13.5" thickBot="1" x14ac:dyDescent="0.25">
      <c r="A86" s="1138"/>
      <c r="B86" s="1139"/>
      <c r="C86" s="664">
        <v>11</v>
      </c>
      <c r="D86" s="1067"/>
      <c r="E86" s="667">
        <v>763.82</v>
      </c>
      <c r="F86" s="1077">
        <f t="shared" si="3"/>
        <v>16446.090000000004</v>
      </c>
      <c r="G86" s="1098">
        <v>38.97</v>
      </c>
      <c r="H86" s="1099">
        <f>SUM(G86:$G$107)</f>
        <v>451.66</v>
      </c>
      <c r="I86" s="1058">
        <v>500</v>
      </c>
      <c r="J86" s="707">
        <f t="shared" si="4"/>
        <v>6500</v>
      </c>
      <c r="K86" s="680">
        <v>250</v>
      </c>
      <c r="L86" s="681">
        <v>175</v>
      </c>
    </row>
    <row r="87" spans="1:26" ht="13.5" thickBot="1" x14ac:dyDescent="0.25">
      <c r="A87" s="1138"/>
      <c r="B87" s="1139"/>
      <c r="C87" s="693">
        <v>12</v>
      </c>
      <c r="D87" s="1069"/>
      <c r="E87" s="694">
        <v>765.55</v>
      </c>
      <c r="F87" s="1079">
        <f t="shared" si="3"/>
        <v>15680.540000000005</v>
      </c>
      <c r="G87" s="1101">
        <v>37.24</v>
      </c>
      <c r="H87" s="1102">
        <f>SUM(G87:$G$107)</f>
        <v>412.69000000000005</v>
      </c>
      <c r="I87" s="1060">
        <v>500</v>
      </c>
      <c r="J87" s="708">
        <f t="shared" si="4"/>
        <v>6000</v>
      </c>
      <c r="K87" s="696">
        <v>250</v>
      </c>
      <c r="L87" s="697">
        <v>175</v>
      </c>
      <c r="M87" s="686">
        <f>SUM(K76:L87)</f>
        <v>5100</v>
      </c>
    </row>
    <row r="88" spans="1:26" ht="13.5" thickBot="1" x14ac:dyDescent="0.25">
      <c r="A88" s="1138">
        <v>6</v>
      </c>
      <c r="B88" s="1139">
        <v>2029</v>
      </c>
      <c r="C88" s="687">
        <v>1</v>
      </c>
      <c r="D88" s="1065"/>
      <c r="E88" s="688">
        <v>767.29</v>
      </c>
      <c r="F88" s="1078">
        <f t="shared" si="3"/>
        <v>14913.250000000004</v>
      </c>
      <c r="G88" s="1103">
        <v>35.5</v>
      </c>
      <c r="H88" s="1104">
        <f>SUM(G88:$G$107)</f>
        <v>375.45000000000005</v>
      </c>
      <c r="I88" s="1059">
        <v>500</v>
      </c>
      <c r="J88" s="689">
        <f t="shared" si="4"/>
        <v>5500</v>
      </c>
      <c r="K88" s="690">
        <v>250</v>
      </c>
      <c r="L88" s="691">
        <v>175</v>
      </c>
    </row>
    <row r="89" spans="1:26" ht="13.5" thickBot="1" x14ac:dyDescent="0.25">
      <c r="A89" s="1138"/>
      <c r="B89" s="1139"/>
      <c r="C89" s="664">
        <v>2</v>
      </c>
      <c r="D89" s="1067"/>
      <c r="E89" s="665">
        <v>769.02</v>
      </c>
      <c r="F89" s="1077">
        <f t="shared" si="3"/>
        <v>14144.230000000003</v>
      </c>
      <c r="G89" s="1100">
        <v>33.770000000000003</v>
      </c>
      <c r="H89" s="1099">
        <f>SUM(G89:$G$107)</f>
        <v>339.95</v>
      </c>
      <c r="I89" s="1058">
        <v>500</v>
      </c>
      <c r="J89" s="679">
        <f t="shared" si="4"/>
        <v>5000</v>
      </c>
      <c r="K89" s="680">
        <v>250</v>
      </c>
      <c r="L89" s="681">
        <v>175</v>
      </c>
    </row>
    <row r="90" spans="1:26" ht="13.5" thickBot="1" x14ac:dyDescent="0.25">
      <c r="A90" s="1138"/>
      <c r="B90" s="1139"/>
      <c r="C90" s="664">
        <v>3</v>
      </c>
      <c r="D90" s="1067"/>
      <c r="E90" s="667">
        <v>770.77</v>
      </c>
      <c r="F90" s="1077">
        <f t="shared" ref="F90:F107" si="5">F89-D90-E90</f>
        <v>13373.460000000003</v>
      </c>
      <c r="G90" s="1098">
        <v>32.020000000000003</v>
      </c>
      <c r="H90" s="1099">
        <f>SUM(G90:$G$107)</f>
        <v>306.18</v>
      </c>
      <c r="I90" s="1058">
        <v>500</v>
      </c>
      <c r="J90" s="679">
        <f t="shared" si="4"/>
        <v>4500</v>
      </c>
      <c r="K90" s="680">
        <v>250</v>
      </c>
      <c r="L90" s="681">
        <v>175</v>
      </c>
    </row>
    <row r="91" spans="1:26" ht="13.5" thickBot="1" x14ac:dyDescent="0.25">
      <c r="A91" s="1138"/>
      <c r="B91" s="1139"/>
      <c r="C91" s="664">
        <v>4</v>
      </c>
      <c r="D91" s="1067"/>
      <c r="E91" s="665">
        <v>772.51</v>
      </c>
      <c r="F91" s="1077">
        <f t="shared" si="5"/>
        <v>12600.950000000003</v>
      </c>
      <c r="G91" s="1100">
        <v>30.28</v>
      </c>
      <c r="H91" s="1099">
        <f>SUM(G91:$G$107)</f>
        <v>274.16000000000003</v>
      </c>
      <c r="I91" s="1058">
        <v>500</v>
      </c>
      <c r="J91" s="679">
        <f t="shared" si="4"/>
        <v>4000</v>
      </c>
      <c r="K91" s="680">
        <v>250</v>
      </c>
      <c r="L91" s="681">
        <v>175</v>
      </c>
      <c r="M91" s="686"/>
    </row>
    <row r="92" spans="1:26" ht="13.5" thickBot="1" x14ac:dyDescent="0.25">
      <c r="A92" s="1138"/>
      <c r="B92" s="1139"/>
      <c r="C92" s="664">
        <v>5</v>
      </c>
      <c r="D92" s="1067"/>
      <c r="E92" s="667">
        <v>774.26</v>
      </c>
      <c r="F92" s="1077">
        <f t="shared" si="5"/>
        <v>11826.690000000002</v>
      </c>
      <c r="G92" s="1098">
        <v>28.53</v>
      </c>
      <c r="H92" s="1099">
        <f>SUM(G92:$G$107)</f>
        <v>243.88</v>
      </c>
      <c r="I92" s="1058">
        <v>500</v>
      </c>
      <c r="J92" s="679">
        <f t="shared" si="4"/>
        <v>3500</v>
      </c>
      <c r="K92" s="680">
        <v>250</v>
      </c>
      <c r="L92" s="681">
        <v>175</v>
      </c>
    </row>
    <row r="93" spans="1:26" ht="13.5" thickBot="1" x14ac:dyDescent="0.25">
      <c r="A93" s="1138"/>
      <c r="B93" s="1139"/>
      <c r="C93" s="664">
        <v>6</v>
      </c>
      <c r="D93" s="1067"/>
      <c r="E93" s="665">
        <v>776.01</v>
      </c>
      <c r="F93" s="1077">
        <f t="shared" si="5"/>
        <v>11050.680000000002</v>
      </c>
      <c r="G93" s="1100">
        <v>26.78</v>
      </c>
      <c r="H93" s="1099">
        <f>SUM(G93:$G$107)</f>
        <v>215.35000000000002</v>
      </c>
      <c r="I93" s="1058">
        <v>500</v>
      </c>
      <c r="J93" s="679">
        <f t="shared" ref="J93:J98" si="6">J92-I93</f>
        <v>3000</v>
      </c>
      <c r="K93" s="680">
        <v>250</v>
      </c>
      <c r="L93" s="681">
        <v>175</v>
      </c>
      <c r="M93" s="686"/>
    </row>
    <row r="94" spans="1:26" ht="13.5" thickBot="1" x14ac:dyDescent="0.25">
      <c r="A94" s="1138"/>
      <c r="B94" s="1139"/>
      <c r="C94" s="664">
        <v>7</v>
      </c>
      <c r="D94" s="1067"/>
      <c r="E94" s="667">
        <v>777.77</v>
      </c>
      <c r="F94" s="1077">
        <f t="shared" si="5"/>
        <v>10272.910000000002</v>
      </c>
      <c r="G94" s="1098">
        <v>25.02</v>
      </c>
      <c r="H94" s="1099">
        <f>SUM(G94:$G$107)</f>
        <v>188.57</v>
      </c>
      <c r="I94" s="1058">
        <v>500</v>
      </c>
      <c r="J94" s="679">
        <f t="shared" si="6"/>
        <v>2500</v>
      </c>
      <c r="K94" s="680">
        <v>250</v>
      </c>
      <c r="L94" s="681">
        <v>175</v>
      </c>
      <c r="M94" s="686"/>
    </row>
    <row r="95" spans="1:26" ht="13.5" thickBot="1" x14ac:dyDescent="0.25">
      <c r="A95" s="1138"/>
      <c r="B95" s="1139"/>
      <c r="C95" s="664">
        <v>8</v>
      </c>
      <c r="D95" s="1067"/>
      <c r="E95" s="665">
        <v>779.53</v>
      </c>
      <c r="F95" s="1077">
        <f t="shared" si="5"/>
        <v>9493.380000000001</v>
      </c>
      <c r="G95" s="1100">
        <v>23.26</v>
      </c>
      <c r="H95" s="1099">
        <f>SUM(G95:$G$107)</f>
        <v>163.55000000000001</v>
      </c>
      <c r="I95" s="1058">
        <v>500</v>
      </c>
      <c r="J95" s="679">
        <f t="shared" si="6"/>
        <v>2000</v>
      </c>
      <c r="K95" s="680">
        <v>250</v>
      </c>
      <c r="L95" s="681">
        <v>175</v>
      </c>
      <c r="M95" s="686"/>
    </row>
    <row r="96" spans="1:26" ht="13.5" thickBot="1" x14ac:dyDescent="0.25">
      <c r="A96" s="1138"/>
      <c r="B96" s="1139"/>
      <c r="C96" s="664">
        <v>9</v>
      </c>
      <c r="D96" s="1067"/>
      <c r="E96" s="667">
        <v>781.3</v>
      </c>
      <c r="F96" s="1077">
        <f t="shared" si="5"/>
        <v>8712.0800000000017</v>
      </c>
      <c r="G96" s="1098">
        <v>21.49</v>
      </c>
      <c r="H96" s="1099">
        <f>SUM(G96:$G$107)</f>
        <v>140.29</v>
      </c>
      <c r="I96" s="1058">
        <v>500</v>
      </c>
      <c r="J96" s="679">
        <f t="shared" si="6"/>
        <v>1500</v>
      </c>
      <c r="K96" s="680">
        <v>250</v>
      </c>
      <c r="L96" s="681">
        <v>175</v>
      </c>
      <c r="M96" s="686"/>
      <c r="V96" s="709" t="s">
        <v>315</v>
      </c>
      <c r="W96" s="710">
        <v>33000</v>
      </c>
      <c r="X96" s="711"/>
      <c r="Y96" s="711"/>
      <c r="Z96" s="712"/>
    </row>
    <row r="97" spans="1:26" ht="13.5" thickBot="1" x14ac:dyDescent="0.25">
      <c r="A97" s="1138"/>
      <c r="B97" s="1139"/>
      <c r="C97" s="664">
        <v>10</v>
      </c>
      <c r="D97" s="1067"/>
      <c r="E97" s="665">
        <v>783.06</v>
      </c>
      <c r="F97" s="1077">
        <f t="shared" si="5"/>
        <v>7929.0200000000023</v>
      </c>
      <c r="G97" s="1100">
        <v>19.73</v>
      </c>
      <c r="H97" s="1099">
        <f>SUM(G97:$G$107)</f>
        <v>118.80000000000001</v>
      </c>
      <c r="I97" s="1058">
        <v>500</v>
      </c>
      <c r="J97" s="679">
        <f t="shared" si="6"/>
        <v>1000</v>
      </c>
      <c r="K97" s="680">
        <v>250</v>
      </c>
      <c r="L97" s="681">
        <v>175</v>
      </c>
      <c r="M97" s="686"/>
      <c r="V97" s="713" t="s">
        <v>316</v>
      </c>
      <c r="W97" s="714">
        <v>30000</v>
      </c>
      <c r="X97" s="658"/>
      <c r="Y97" s="658"/>
      <c r="Z97" s="659"/>
    </row>
    <row r="98" spans="1:26" ht="13.5" thickBot="1" x14ac:dyDescent="0.25">
      <c r="A98" s="1138"/>
      <c r="B98" s="1139"/>
      <c r="C98" s="664">
        <v>11</v>
      </c>
      <c r="D98" s="1067"/>
      <c r="E98" s="667">
        <v>784.84</v>
      </c>
      <c r="F98" s="1077">
        <f t="shared" si="5"/>
        <v>7144.1800000000021</v>
      </c>
      <c r="G98" s="1098">
        <v>17.95</v>
      </c>
      <c r="H98" s="1099">
        <f>SUM(G98:$G$107)</f>
        <v>99.07</v>
      </c>
      <c r="I98" s="1058">
        <v>500</v>
      </c>
      <c r="J98" s="679">
        <f t="shared" si="6"/>
        <v>500</v>
      </c>
      <c r="K98" s="680">
        <v>250</v>
      </c>
      <c r="L98" s="681">
        <v>175</v>
      </c>
      <c r="M98" s="686">
        <f>SUM(K88:L98)</f>
        <v>4675</v>
      </c>
      <c r="N98" s="698">
        <f>SUM(M39:M98)</f>
        <v>16575</v>
      </c>
      <c r="O98" s="705" t="s">
        <v>295</v>
      </c>
      <c r="V98" s="673"/>
      <c r="W98" s="674" t="s">
        <v>273</v>
      </c>
      <c r="X98" s="674">
        <v>72</v>
      </c>
      <c r="Y98" s="674">
        <v>84</v>
      </c>
      <c r="Z98" s="715">
        <v>96</v>
      </c>
    </row>
    <row r="99" spans="1:26" ht="13.5" thickBot="1" x14ac:dyDescent="0.25">
      <c r="A99" s="1138"/>
      <c r="B99" s="1139"/>
      <c r="C99" s="693">
        <v>12</v>
      </c>
      <c r="D99" s="1069"/>
      <c r="E99" s="694">
        <v>786.61</v>
      </c>
      <c r="F99" s="1079">
        <f t="shared" si="5"/>
        <v>6357.5700000000024</v>
      </c>
      <c r="G99" s="1101">
        <v>16.18</v>
      </c>
      <c r="H99" s="1102">
        <f>SUM(G99:$G$107)</f>
        <v>81.12</v>
      </c>
      <c r="I99" s="1061"/>
      <c r="J99" s="695"/>
      <c r="K99" s="699"/>
      <c r="L99" s="716"/>
      <c r="V99" s="673"/>
      <c r="W99" s="674" t="s">
        <v>317</v>
      </c>
      <c r="X99" s="674">
        <v>6</v>
      </c>
      <c r="Y99" s="674">
        <v>7</v>
      </c>
      <c r="Z99" s="715">
        <v>8</v>
      </c>
    </row>
    <row r="100" spans="1:26" x14ac:dyDescent="0.2">
      <c r="A100" s="1150">
        <v>7</v>
      </c>
      <c r="B100" s="1148">
        <v>2030</v>
      </c>
      <c r="C100" s="660">
        <v>1</v>
      </c>
      <c r="D100" s="1075"/>
      <c r="E100" s="717">
        <v>788.4</v>
      </c>
      <c r="F100" s="1080">
        <f t="shared" si="5"/>
        <v>5569.1700000000028</v>
      </c>
      <c r="G100" s="1105">
        <v>14.39</v>
      </c>
      <c r="H100" s="1106">
        <f>SUM(G100:$G$107)</f>
        <v>64.94</v>
      </c>
      <c r="I100" s="1062"/>
      <c r="J100" s="718"/>
      <c r="V100" s="673"/>
      <c r="W100" s="674" t="s">
        <v>318</v>
      </c>
      <c r="X100" s="719">
        <v>617</v>
      </c>
      <c r="Y100" s="719">
        <v>559</v>
      </c>
      <c r="Z100" s="676">
        <v>517</v>
      </c>
    </row>
    <row r="101" spans="1:26" x14ac:dyDescent="0.2">
      <c r="A101" s="1150"/>
      <c r="B101" s="1148"/>
      <c r="C101" s="664">
        <v>2</v>
      </c>
      <c r="D101" s="1073"/>
      <c r="E101" s="665">
        <v>790.18</v>
      </c>
      <c r="F101" s="1077">
        <f t="shared" si="5"/>
        <v>4778.9900000000025</v>
      </c>
      <c r="G101" s="1100">
        <v>12.61</v>
      </c>
      <c r="H101" s="1099">
        <f>SUM(G101:$G$107)</f>
        <v>50.55</v>
      </c>
      <c r="I101" s="1063"/>
      <c r="J101" s="707"/>
      <c r="V101" s="673"/>
      <c r="W101" s="674" t="s">
        <v>319</v>
      </c>
      <c r="X101" s="719">
        <f>X100*X98</f>
        <v>44424</v>
      </c>
      <c r="Y101" s="719">
        <f>Y100*Y98</f>
        <v>46956</v>
      </c>
      <c r="Z101" s="720">
        <f>Z100*Z98</f>
        <v>49632</v>
      </c>
    </row>
    <row r="102" spans="1:26" ht="13.5" thickBot="1" x14ac:dyDescent="0.25">
      <c r="A102" s="1150"/>
      <c r="B102" s="1148"/>
      <c r="C102" s="664">
        <v>3</v>
      </c>
      <c r="D102" s="1067"/>
      <c r="E102" s="667">
        <v>791.97</v>
      </c>
      <c r="F102" s="1077">
        <f t="shared" si="5"/>
        <v>3987.0200000000023</v>
      </c>
      <c r="G102" s="1098">
        <v>10.82</v>
      </c>
      <c r="H102" s="1099">
        <f>SUM(G102:$G$107)</f>
        <v>37.940000000000005</v>
      </c>
      <c r="I102" s="1058"/>
      <c r="J102" s="678"/>
      <c r="V102" s="699"/>
      <c r="W102" s="721" t="s">
        <v>320</v>
      </c>
      <c r="X102" s="722">
        <f>X101-W97</f>
        <v>14424</v>
      </c>
      <c r="Y102" s="722">
        <f>Y101-W97</f>
        <v>16956</v>
      </c>
      <c r="Z102" s="723">
        <f>Z101-W97</f>
        <v>19632</v>
      </c>
    </row>
    <row r="103" spans="1:26" x14ac:dyDescent="0.2">
      <c r="A103" s="1150"/>
      <c r="B103" s="1148"/>
      <c r="C103" s="664">
        <v>4</v>
      </c>
      <c r="D103" s="1073"/>
      <c r="E103" s="665">
        <v>793.76</v>
      </c>
      <c r="F103" s="1077">
        <f t="shared" si="5"/>
        <v>3193.260000000002</v>
      </c>
      <c r="G103" s="1100">
        <v>9.0299999999999994</v>
      </c>
      <c r="H103" s="1099">
        <f>SUM(G103:$G$107)</f>
        <v>27.119999999999997</v>
      </c>
      <c r="I103" s="1063"/>
      <c r="J103" s="707"/>
      <c r="V103" s="674" t="s">
        <v>321</v>
      </c>
      <c r="X103" s="719">
        <f>X102/X98</f>
        <v>200.33333333333334</v>
      </c>
      <c r="Y103" s="719">
        <f>Y102/Y98</f>
        <v>201.85714285714286</v>
      </c>
      <c r="Z103" s="719">
        <f>Z102/Z98</f>
        <v>204.5</v>
      </c>
    </row>
    <row r="104" spans="1:26" x14ac:dyDescent="0.2">
      <c r="A104" s="1150"/>
      <c r="B104" s="1148"/>
      <c r="C104" s="664">
        <v>5</v>
      </c>
      <c r="D104" s="1067"/>
      <c r="E104" s="667">
        <v>795.56</v>
      </c>
      <c r="F104" s="1077">
        <f t="shared" si="5"/>
        <v>2397.7000000000021</v>
      </c>
      <c r="G104" s="1098">
        <v>7.23</v>
      </c>
      <c r="H104" s="1099">
        <f>SUM(G104:$G$107)</f>
        <v>18.09</v>
      </c>
      <c r="I104" s="1058"/>
      <c r="J104" s="678"/>
      <c r="V104" s="674" t="s">
        <v>322</v>
      </c>
      <c r="X104" s="719">
        <f>X103*12</f>
        <v>2404</v>
      </c>
      <c r="Y104" s="719">
        <f>Y103*12</f>
        <v>2422.2857142857142</v>
      </c>
      <c r="Z104" s="719">
        <f>Z103*12</f>
        <v>2454</v>
      </c>
    </row>
    <row r="105" spans="1:26" x14ac:dyDescent="0.2">
      <c r="A105" s="1150"/>
      <c r="B105" s="1148"/>
      <c r="C105" s="664">
        <v>6</v>
      </c>
      <c r="D105" s="1073"/>
      <c r="E105" s="665">
        <v>797.36</v>
      </c>
      <c r="F105" s="1077">
        <f t="shared" si="5"/>
        <v>1600.340000000002</v>
      </c>
      <c r="G105" s="1100">
        <v>5.43</v>
      </c>
      <c r="H105" s="1099">
        <f>SUM(G105:$G$107)</f>
        <v>10.860000000000001</v>
      </c>
      <c r="I105" s="1063"/>
      <c r="J105" s="707"/>
      <c r="V105" s="674" t="s">
        <v>323</v>
      </c>
      <c r="X105" s="719">
        <f>X103*18</f>
        <v>3606</v>
      </c>
      <c r="Y105" s="719">
        <f>Y103*18</f>
        <v>3633.4285714285716</v>
      </c>
      <c r="Z105" s="719">
        <f>Z103*18</f>
        <v>3681</v>
      </c>
    </row>
    <row r="106" spans="1:26" x14ac:dyDescent="0.2">
      <c r="A106" s="1150"/>
      <c r="B106" s="1148"/>
      <c r="C106" s="664">
        <v>7</v>
      </c>
      <c r="D106" s="1067"/>
      <c r="E106" s="667">
        <v>799.17</v>
      </c>
      <c r="F106" s="1077">
        <f t="shared" si="5"/>
        <v>801.17000000000201</v>
      </c>
      <c r="G106" s="1098">
        <v>3.62</v>
      </c>
      <c r="H106" s="1099">
        <f>SUM(G106:$G$107)</f>
        <v>5.43</v>
      </c>
      <c r="I106" s="1058"/>
      <c r="J106" s="678"/>
      <c r="V106" s="674" t="s">
        <v>324</v>
      </c>
      <c r="X106" s="719">
        <f>X104*2</f>
        <v>4808</v>
      </c>
      <c r="Y106" s="719">
        <f>Y104*2</f>
        <v>4844.5714285714284</v>
      </c>
      <c r="Z106" s="719">
        <f>Z104*2</f>
        <v>4908</v>
      </c>
    </row>
    <row r="107" spans="1:26" ht="13.5" thickBot="1" x14ac:dyDescent="0.25">
      <c r="A107" s="1151"/>
      <c r="B107" s="1149"/>
      <c r="C107" s="664">
        <v>8</v>
      </c>
      <c r="D107" s="1069"/>
      <c r="E107" s="694">
        <v>801.17</v>
      </c>
      <c r="F107" s="1079">
        <f t="shared" si="5"/>
        <v>2.0463630789890885E-12</v>
      </c>
      <c r="G107" s="1101">
        <v>1.81</v>
      </c>
      <c r="H107" s="1102">
        <f>SUM(G107:$G$107)</f>
        <v>1.81</v>
      </c>
      <c r="I107" s="1063"/>
      <c r="J107" s="707"/>
      <c r="V107" s="674" t="s">
        <v>325</v>
      </c>
      <c r="X107" s="719">
        <f>X103*36</f>
        <v>7212</v>
      </c>
      <c r="Y107" s="719">
        <f>Y103*36</f>
        <v>7266.8571428571431</v>
      </c>
      <c r="Z107" s="719">
        <f>Z103*36</f>
        <v>7362</v>
      </c>
    </row>
    <row r="108" spans="1:26" x14ac:dyDescent="0.2">
      <c r="V108" s="674" t="s">
        <v>324</v>
      </c>
      <c r="X108" s="719">
        <f>X103*48</f>
        <v>9616</v>
      </c>
      <c r="Y108" s="719">
        <f>Y103*48</f>
        <v>9689.1428571428569</v>
      </c>
      <c r="Z108" s="719">
        <f>Z103*48</f>
        <v>9816</v>
      </c>
    </row>
    <row r="109" spans="1:26" x14ac:dyDescent="0.2">
      <c r="V109" s="674" t="s">
        <v>326</v>
      </c>
      <c r="X109" s="719">
        <f>X103*60</f>
        <v>12020</v>
      </c>
      <c r="Y109" s="719">
        <f>Y103*60</f>
        <v>12111.428571428572</v>
      </c>
      <c r="Z109" s="719">
        <f>Z103*60</f>
        <v>12270</v>
      </c>
    </row>
    <row r="110" spans="1:26" x14ac:dyDescent="0.2">
      <c r="V110" s="674" t="s">
        <v>327</v>
      </c>
      <c r="X110" s="719">
        <f>X103*72</f>
        <v>14424</v>
      </c>
      <c r="Y110" s="719">
        <f>Y103*72</f>
        <v>14533.714285714286</v>
      </c>
      <c r="Z110" s="719">
        <f>Z103*72</f>
        <v>14724</v>
      </c>
    </row>
    <row r="111" spans="1:26" x14ac:dyDescent="0.2">
      <c r="V111" s="674" t="s">
        <v>328</v>
      </c>
      <c r="Y111" s="719">
        <f>Y103*84</f>
        <v>16956</v>
      </c>
      <c r="Z111" s="719">
        <f>Z103*84</f>
        <v>17178</v>
      </c>
    </row>
    <row r="112" spans="1:26" x14ac:dyDescent="0.2">
      <c r="V112" s="674" t="s">
        <v>329</v>
      </c>
      <c r="Z112" s="719">
        <f>Z103*96</f>
        <v>19632</v>
      </c>
    </row>
  </sheetData>
  <mergeCells count="27">
    <mergeCell ref="P28:V28"/>
    <mergeCell ref="X28:AD28"/>
    <mergeCell ref="AF28:AL28"/>
    <mergeCell ref="AN28:AT28"/>
    <mergeCell ref="B1:B3"/>
    <mergeCell ref="C1:C3"/>
    <mergeCell ref="I1:J2"/>
    <mergeCell ref="D2:E2"/>
    <mergeCell ref="B16:B27"/>
    <mergeCell ref="D1:H1"/>
    <mergeCell ref="B100:B107"/>
    <mergeCell ref="A100:A107"/>
    <mergeCell ref="A40:A51"/>
    <mergeCell ref="B40:B51"/>
    <mergeCell ref="A52:A63"/>
    <mergeCell ref="B52:B63"/>
    <mergeCell ref="A64:A75"/>
    <mergeCell ref="B64:B75"/>
    <mergeCell ref="A4:A15"/>
    <mergeCell ref="B4:B15"/>
    <mergeCell ref="A76:A87"/>
    <mergeCell ref="B76:B87"/>
    <mergeCell ref="A88:A99"/>
    <mergeCell ref="B88:B99"/>
    <mergeCell ref="A28:A39"/>
    <mergeCell ref="B28:B39"/>
    <mergeCell ref="A16:A27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AÑO 2026</vt:lpstr>
      <vt:lpstr>GASTOS </vt:lpstr>
      <vt:lpstr>ESCENARIOS</vt:lpstr>
      <vt:lpstr>MINIMOS</vt:lpstr>
      <vt:lpstr>AMORTIZACIONES 1</vt:lpstr>
      <vt:lpstr>MINIMOS!Área_de_impresión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Julio Basterrika</cp:lastModifiedBy>
  <cp:revision>13</cp:revision>
  <cp:lastPrinted>2026-05-08T14:43:29Z</cp:lastPrinted>
  <dcterms:created xsi:type="dcterms:W3CDTF">2009-08-04T07:44:38Z</dcterms:created>
  <dcterms:modified xsi:type="dcterms:W3CDTF">2026-08-31T10:54:13Z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0x01010092170E565A5A7741B67B4B105E0163DE</vt:lpwstr>
  </property>
</Properties>
</file>